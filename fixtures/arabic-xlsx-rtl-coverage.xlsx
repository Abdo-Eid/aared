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aared\fixtures\"/>
    </mc:Choice>
  </mc:AlternateContent>
  <xr:revisionPtr revIDLastSave="0" documentId="13_ncr:1_{D2F6D069-F80A-4DA7-9205-FB78B564D3B9}" xr6:coauthVersionLast="47" xr6:coauthVersionMax="47" xr10:uidLastSave="{00000000-0000-0000-0000-000000000000}"/>
  <bookViews>
    <workbookView xWindow="-120" yWindow="-120" windowWidth="29040" windowHeight="15720" firstSheet="3" activeTab="3" xr2:uid="{C9858A67-EAF4-434E-9B5A-A63AF1A4958C}"/>
  </bookViews>
  <sheets>
    <sheet name="الميزانية" sheetId="2" r:id="rId1"/>
    <sheet name="Summary" sheetId="3" r:id="rId2"/>
    <sheet name="Shot Log" sheetId="4" r:id="rId3"/>
    <sheet name="Notes" sheetId="5" r:id="rId4"/>
  </sheets>
  <definedNames>
    <definedName name="_xlnm._FilterDatabase" localSheetId="2" hidden="1">'Shot Log'!$A$4:$I$16</definedName>
    <definedName name="EditorHours">Notes!$B$24:$B$26</definedName>
    <definedName name="Editors">Notes!$A$24:$A$26</definedName>
    <definedName name="_xlnm.Print_Titles" localSheetId="2">'Shot Log'!$4:$4</definedName>
    <definedName name="Rate_per_hour">Notes!$B$6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4" l="1"/>
  <c r="F17" i="4"/>
  <c r="I16" i="4"/>
  <c r="I15" i="4"/>
  <c r="I14" i="4"/>
  <c r="I13" i="4"/>
  <c r="I12" i="4"/>
  <c r="I11" i="4"/>
  <c r="I10" i="4"/>
  <c r="I9" i="4"/>
  <c r="I8" i="4"/>
  <c r="I7" i="4"/>
  <c r="I6" i="4"/>
  <c r="I5" i="4"/>
  <c r="C5" i="3"/>
  <c r="B5" i="3"/>
  <c r="C9" i="2"/>
  <c r="D9" i="2" s="1"/>
  <c r="B9" i="2"/>
  <c r="D8" i="2"/>
  <c r="D7" i="2"/>
  <c r="D6" i="2"/>
  <c r="D5" i="2"/>
  <c r="D4" i="2"/>
  <c r="I1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4" authorId="0" shapeId="0" xr:uid="{6F67392B-6463-4DC8-9FB6-1C21807C8018}">
      <text>
        <r>
          <rPr>
            <sz val="10"/>
            <rFont val="Arial"/>
            <family val="2"/>
          </rPr>
          <t xml:space="preserve">Cost = hours logged x Rate_per_hour (named range on Notes!B6).
</t>
        </r>
        <r>
          <rPr>
            <sz val="10"/>
            <rFont val="FreeSans"/>
            <family val="2"/>
          </rPr>
          <t>التكلفة = الساعات المسجلة × سعر الساعة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<sst xmlns="http://schemas.openxmlformats.org/spreadsheetml/2006/main" count="532" uniqueCount="111">
  <si>
    <t>ميزانية الإنتاج الشهرية</t>
  </si>
  <si>
    <t>سبتمبر 2026 — أرقام معتمدة من سجل اللقطات</t>
  </si>
  <si>
    <t>البند</t>
  </si>
  <si>
    <t>الميزانية (EGP)</t>
  </si>
  <si>
    <t>المصروف (EGP)</t>
  </si>
  <si>
    <t>الفرق %</t>
  </si>
  <si>
    <t>ملاحظات</t>
  </si>
  <si>
    <t>أجور المونتاج</t>
  </si>
  <si>
    <t>ضمن الحدود</t>
  </si>
  <si>
    <t>مواقع التصوير</t>
  </si>
  <si>
    <t>زيادة طفيفة</t>
  </si>
  <si>
    <t>السفر والإقامة</t>
  </si>
  <si>
    <t>معدات مستأجرة</t>
  </si>
  <si>
    <t>المونتاج النهائي</t>
  </si>
  <si>
    <t>تجاوز يحتاج مراجعة</t>
  </si>
  <si>
    <t>الإجمالي</t>
  </si>
  <si>
    <t>تاريخ الاعتماد</t>
  </si>
  <si>
    <t>مرجع</t>
  </si>
  <si>
    <t>دليل الإنتاج</t>
  </si>
  <si>
    <t>Production budget — summary</t>
  </si>
  <si>
    <t>Category</t>
  </si>
  <si>
    <t>Planned</t>
  </si>
  <si>
    <t>Spent</t>
  </si>
  <si>
    <t>Crew</t>
  </si>
  <si>
    <t>Post</t>
  </si>
  <si>
    <t>Total</t>
  </si>
  <si>
    <t>Shot Log — Episodes 04–06</t>
  </si>
  <si>
    <t>سجل اللقطات — الحلقات 4 إلى 6</t>
  </si>
  <si>
    <t>Shot ID</t>
  </si>
  <si>
    <t>Ep.</t>
  </si>
  <si>
    <t>Scene</t>
  </si>
  <si>
    <t>المشهد</t>
  </si>
  <si>
    <t>Status
الحالة</t>
  </si>
  <si>
    <t>Runtime
(min)</t>
  </si>
  <si>
    <t>Editor</t>
  </si>
  <si>
    <t>Hours
logged</t>
  </si>
  <si>
    <t>Cost (EGP)</t>
  </si>
  <si>
    <t>S-041</t>
  </si>
  <si>
    <t>Dawn over the barrage</t>
  </si>
  <si>
    <t>الفجر فوق القناطر</t>
  </si>
  <si>
    <t>Locked</t>
  </si>
  <si>
    <t>Karim</t>
  </si>
  <si>
    <t>S-042</t>
  </si>
  <si>
    <t>Hands mending a net</t>
  </si>
  <si>
    <t>أيادٍ تصلح شبكة صيد</t>
  </si>
  <si>
    <t>S-043</t>
  </si>
  <si>
    <t>Interview — Umm Sayed</t>
  </si>
  <si>
    <t>مقابلة — أم سيد</t>
  </si>
  <si>
    <t>In review</t>
  </si>
  <si>
    <t>Nourhan</t>
  </si>
  <si>
    <t>S-044</t>
  </si>
  <si>
    <t>Archive: 1974 reel</t>
  </si>
  <si>
    <t>أرشيف: شريط ١٩٧٤</t>
  </si>
  <si>
    <t>Blocked</t>
  </si>
  <si>
    <t>S-045</t>
  </si>
  <si>
    <t>Ferry crossing at dusk</t>
  </si>
  <si>
    <t>معدية عند الغروب</t>
  </si>
  <si>
    <t>S-051</t>
  </si>
  <si>
    <t>Market at first light</t>
  </si>
  <si>
    <t>السوق مع أول الضوء</t>
  </si>
  <si>
    <t>In progress</t>
  </si>
  <si>
    <t>Mai</t>
  </si>
  <si>
    <t>S-052</t>
  </si>
  <si>
    <t>Boat workshop, interior</t>
  </si>
  <si>
    <t>ورشة المراكب، داخلي</t>
  </si>
  <si>
    <t>S-053</t>
  </si>
  <si>
    <t>Interview — Ustaz Adel</t>
  </si>
  <si>
    <t>مقابلة — أستاذ عادل</t>
  </si>
  <si>
    <t>Not started</t>
  </si>
  <si>
    <t>S-054</t>
  </si>
  <si>
    <t>Drone pass, delta fields</t>
  </si>
  <si>
    <t>لقطة درون فوق حقول الدلتا</t>
  </si>
  <si>
    <t>S-061</t>
  </si>
  <si>
    <t>Rosetta shoreline</t>
  </si>
  <si>
    <t>شاطئ رشيد</t>
  </si>
  <si>
    <t>S-062</t>
  </si>
  <si>
    <t>Night fishing, handheld</t>
  </si>
  <si>
    <t>صيد ليلي، كاميرا محمولة</t>
  </si>
  <si>
    <t>S-063</t>
  </si>
  <si>
    <t>Closing montage</t>
  </si>
  <si>
    <t>المونتاج الختامي</t>
  </si>
  <si>
    <t>Total / الإجمالي</t>
  </si>
  <si>
    <t>How to use this workbook</t>
  </si>
  <si>
    <t>طريقة استخدام هذا الملف</t>
  </si>
  <si>
    <t>Assumptions / الافتراضات</t>
  </si>
  <si>
    <t>Rate per hour (EGP)</t>
  </si>
  <si>
    <r>
      <rPr>
        <sz val="11"/>
        <color theme="1"/>
        <rFont val="FreeSans"/>
        <family val="2"/>
      </rPr>
      <t>سعر ساعة المونتاج</t>
    </r>
    <r>
      <rPr>
        <sz val="11"/>
        <color theme="1"/>
        <rFont val="Aptos Narrow"/>
        <family val="2"/>
        <scheme val="minor"/>
      </rPr>
      <t xml:space="preserve">. </t>
    </r>
    <r>
      <rPr>
        <sz val="11"/>
        <color theme="1"/>
        <rFont val="FreeSans"/>
        <family val="2"/>
      </rPr>
      <t>غيّر هذه الخلية فقط — باقي الجداول تتحدث تلقائيًا</t>
    </r>
    <r>
      <rPr>
        <sz val="11"/>
        <color theme="1"/>
        <rFont val="Aptos Narrow"/>
        <family val="2"/>
        <scheme val="minor"/>
      </rPr>
      <t>.</t>
    </r>
  </si>
  <si>
    <t>Week ending</t>
  </si>
  <si>
    <t>Reporting date for the dashboard figures.</t>
  </si>
  <si>
    <t>Session length</t>
  </si>
  <si>
    <r>
      <rPr>
        <sz val="11"/>
        <color theme="1"/>
        <rFont val="Aptos Narrow"/>
        <family val="2"/>
        <scheme val="minor"/>
      </rPr>
      <t xml:space="preserve">Standard grading session block / </t>
    </r>
    <r>
      <rPr>
        <sz val="11"/>
        <color theme="1"/>
        <rFont val="FreeSans"/>
        <family val="2"/>
      </rPr>
      <t>مدة جلسة التصحيح القياسية</t>
    </r>
    <r>
      <rPr>
        <sz val="11"/>
        <color theme="1"/>
        <rFont val="Aptos Narrow"/>
        <family val="2"/>
        <scheme val="minor"/>
      </rPr>
      <t>.</t>
    </r>
  </si>
  <si>
    <t>Colour legend / دليل الألوان</t>
  </si>
  <si>
    <t>Blue text</t>
  </si>
  <si>
    <t>نص أزرق</t>
  </si>
  <si>
    <t>Typed input — safe to edit.</t>
  </si>
  <si>
    <t>Black text</t>
  </si>
  <si>
    <t>نص أسود</t>
  </si>
  <si>
    <t>Formula — do not overwrite.</t>
  </si>
  <si>
    <t>Green text</t>
  </si>
  <si>
    <t>نص أخضر</t>
  </si>
  <si>
    <t>Pulled from another sheet.</t>
  </si>
  <si>
    <t>Yellow fill</t>
  </si>
  <si>
    <t>تظليل أصفر</t>
  </si>
  <si>
    <t>Key assumption you are expected to set.</t>
  </si>
  <si>
    <t>Example row / صف نموذجي</t>
  </si>
  <si>
    <t>S-071</t>
  </si>
  <si>
    <r>
      <rPr>
        <sz val="11"/>
        <color theme="1"/>
        <rFont val="Aptos Narrow"/>
        <family val="2"/>
        <scheme val="minor"/>
      </rPr>
      <t xml:space="preserve">Shot ID, then episode number, scene in English, </t>
    </r>
    <r>
      <rPr>
        <sz val="11"/>
        <color theme="1"/>
        <rFont val="FreeSans"/>
        <family val="2"/>
      </rPr>
      <t>المشهد بالعربية</t>
    </r>
    <r>
      <rPr>
        <sz val="11"/>
        <color theme="1"/>
        <rFont val="Aptos Narrow"/>
        <family val="2"/>
        <scheme val="minor"/>
      </rPr>
      <t>, status from the dropdown, runtime in minutes, editor name, hours logged.</t>
    </r>
  </si>
  <si>
    <t>Studio handbook</t>
  </si>
  <si>
    <t>example.com</t>
  </si>
  <si>
    <r>
      <rPr>
        <sz val="11"/>
        <color theme="1"/>
        <rFont val="Aptos Narrow"/>
        <family val="2"/>
        <scheme val="minor"/>
      </rPr>
      <t xml:space="preserve">Delivery specs, LUT pack, and the naming convention / </t>
    </r>
    <r>
      <rPr>
        <sz val="11"/>
        <color theme="1"/>
        <rFont val="FreeSans"/>
        <family val="2"/>
      </rPr>
      <t>مواصفات التسليم وحزمة الألوان</t>
    </r>
    <r>
      <rPr>
        <sz val="11"/>
        <color theme="1"/>
        <rFont val="Aptos Narrow"/>
        <family val="2"/>
        <scheme val="minor"/>
      </rPr>
      <t>.</t>
    </r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</si>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</sst>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&quot; EGP&quot;"/>
    <numFmt numFmtId="165" formatCode="0.0%"/>
    <numFmt numFmtId="166" formatCode="dd\ mmm\ yyyy"/>
    <numFmt numFmtId="167" formatCode="0.0"/>
    <numFmt numFmtId="168" formatCode="[h]:mm"/>
  </numFmts>
  <fonts count="23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rgb="FFFFFFFF"/>
      <name val="Arial"/>
    </font>
    <font>
      <sz val="12"/>
      <color rgb="FF2E7D74"/>
      <name val="Arial"/>
    </font>
    <font>
      <b/>
      <sz val="10"/>
      <color rgb="FFFFFFFF"/>
      <name val="Arial"/>
    </font>
    <font>
      <sz val="10"/>
      <color rgb="FF000000"/>
      <name val="Arial"/>
    </font>
    <font>
      <i/>
      <sz val="9"/>
      <color rgb="FF5B6470"/>
      <name val="Arial"/>
    </font>
    <font>
      <b/>
      <sz val="10"/>
      <color rgb="FF000000"/>
      <name val="Arial"/>
    </font>
    <font>
      <sz val="11"/>
      <color theme="1"/>
      <name val="Calibri"/>
      <family val="2"/>
      <charset val="1"/>
    </font>
    <font>
      <b/>
      <sz val="15"/>
      <color rgb="FF12171F"/>
      <name val="Arial"/>
      <charset val="1"/>
    </font>
    <font>
      <sz val="12"/>
      <color rgb="FF2E7D74"/>
      <name val="Arial"/>
      <charset val="1"/>
    </font>
    <font>
      <b/>
      <sz val="10"/>
      <color rgb="FFFFFFFF"/>
      <name val="Arial"/>
      <charset val="1"/>
    </font>
    <font>
      <b/>
      <sz val="10"/>
      <color rgb="FFB87F1E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family val="2"/>
    </font>
    <font>
      <sz val="10"/>
      <name val="FreeSans"/>
      <family val="2"/>
    </font>
    <font>
      <b/>
      <sz val="11"/>
      <color rgb="FF12171F"/>
      <name val="Arial"/>
      <charset val="1"/>
    </font>
    <font>
      <b/>
      <sz val="11"/>
      <color rgb="FF0000FF"/>
      <name val="Arial"/>
      <charset val="1"/>
    </font>
    <font>
      <sz val="11"/>
      <color theme="1"/>
      <name val="FreeSans"/>
      <family val="2"/>
    </font>
    <font>
      <sz val="11"/>
      <color rgb="FF0000FF"/>
      <name val="Arial"/>
      <charset val="1"/>
    </font>
    <font>
      <u/>
      <sz val="10"/>
      <color rgb="FF1155CC"/>
      <name val="Arial"/>
      <charset val="1"/>
    </font>
    <font>
      <sz val="10"/>
      <color rgb="FF008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2171F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F4F1EC"/>
        <bgColor rgb="FF000000"/>
      </patternFill>
    </fill>
    <fill>
      <patternFill patternType="solid">
        <fgColor rgb="FFFBF9F5"/>
        <bgColor rgb="FFFFFFFF"/>
      </patternFill>
    </fill>
    <fill>
      <patternFill patternType="solid">
        <fgColor rgb="FFF4F1EC"/>
        <bgColor rgb="FFFBF9F5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8D3C9"/>
      </left>
      <right style="thin">
        <color rgb="FFD8D3C9"/>
      </right>
      <top style="thin">
        <color rgb="FFD8D3C9"/>
      </top>
      <bottom style="thin">
        <color rgb="FFD8D3C9"/>
      </bottom>
      <diagonal/>
    </border>
    <border>
      <left style="thin">
        <color rgb="FFD8D3C9"/>
      </left>
      <right style="thin">
        <color rgb="FFD8D3C9"/>
      </right>
      <top style="medium">
        <color rgb="FF12171F"/>
      </top>
      <bottom style="thin">
        <color rgb="FFD8D3C9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2">
    <xf numFmtId="0" fontId="0" fillId="0" borderId="0" xfId="0"/>
    <xf numFmtId="0" fontId="1" fillId="0" borderId="0" xfId="1"/>
    <xf numFmtId="0" fontId="4" fillId="3" borderId="1" xfId="1" applyFont="1" applyFill="1" applyBorder="1" applyAlignment="1">
      <alignment horizontal="center" vertical="center" wrapText="1" readingOrder="2"/>
    </xf>
    <xf numFmtId="0" fontId="5" fillId="0" borderId="1" xfId="1" applyFont="1" applyBorder="1" applyAlignment="1">
      <alignment horizontal="right" vertical="center" readingOrder="2"/>
    </xf>
    <xf numFmtId="164" fontId="5" fillId="0" borderId="1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right" vertical="center" readingOrder="2"/>
    </xf>
    <xf numFmtId="0" fontId="7" fillId="4" borderId="1" xfId="1" applyFont="1" applyFill="1" applyBorder="1" applyAlignment="1">
      <alignment horizontal="right" vertical="center" readingOrder="2"/>
    </xf>
    <xf numFmtId="164" fontId="7" fillId="4" borderId="1" xfId="1" applyNumberFormat="1" applyFont="1" applyFill="1" applyBorder="1" applyAlignment="1">
      <alignment horizontal="center" vertical="center"/>
    </xf>
    <xf numFmtId="165" fontId="7" fillId="4" borderId="1" xfId="1" applyNumberFormat="1" applyFont="1" applyFill="1" applyBorder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/>
    </xf>
    <xf numFmtId="164" fontId="5" fillId="0" borderId="1" xfId="1" applyNumberFormat="1" applyFont="1" applyBorder="1" applyAlignment="1">
      <alignment horizontal="right"/>
    </xf>
    <xf numFmtId="0" fontId="8" fillId="0" borderId="0" xfId="2"/>
    <xf numFmtId="0" fontId="11" fillId="2" borderId="1" xfId="2" applyFont="1" applyFill="1" applyBorder="1" applyAlignment="1">
      <alignment horizontal="center" vertical="center" wrapText="1"/>
    </xf>
    <xf numFmtId="0" fontId="12" fillId="5" borderId="1" xfId="2" applyFont="1" applyFill="1" applyBorder="1"/>
    <xf numFmtId="0" fontId="13" fillId="5" borderId="1" xfId="2" applyFont="1" applyFill="1" applyBorder="1" applyAlignment="1">
      <alignment horizontal="center"/>
    </xf>
    <xf numFmtId="0" fontId="13" fillId="5" borderId="1" xfId="2" applyFont="1" applyFill="1" applyBorder="1"/>
    <xf numFmtId="0" fontId="13" fillId="5" borderId="1" xfId="2" applyFont="1" applyFill="1" applyBorder="1" applyAlignment="1">
      <alignment horizontal="right" readingOrder="2"/>
    </xf>
    <xf numFmtId="2" fontId="13" fillId="5" borderId="1" xfId="2" applyNumberFormat="1" applyFont="1" applyFill="1" applyBorder="1"/>
    <xf numFmtId="167" fontId="13" fillId="5" borderId="1" xfId="2" applyNumberFormat="1" applyFont="1" applyFill="1" applyBorder="1"/>
    <xf numFmtId="164" fontId="13" fillId="5" borderId="1" xfId="2" applyNumberFormat="1" applyFont="1" applyFill="1" applyBorder="1"/>
    <xf numFmtId="0" fontId="12" fillId="0" borderId="1" xfId="2" applyFont="1" applyBorder="1"/>
    <xf numFmtId="0" fontId="13" fillId="0" borderId="1" xfId="2" applyFont="1" applyBorder="1" applyAlignment="1">
      <alignment horizontal="center"/>
    </xf>
    <xf numFmtId="0" fontId="13" fillId="0" borderId="1" xfId="2" applyFont="1" applyBorder="1"/>
    <xf numFmtId="0" fontId="13" fillId="0" borderId="1" xfId="2" applyFont="1" applyBorder="1" applyAlignment="1">
      <alignment horizontal="right" readingOrder="2"/>
    </xf>
    <xf numFmtId="2" fontId="13" fillId="0" borderId="1" xfId="2" applyNumberFormat="1" applyFont="1" applyBorder="1"/>
    <xf numFmtId="167" fontId="13" fillId="0" borderId="1" xfId="2" applyNumberFormat="1" applyFont="1" applyBorder="1"/>
    <xf numFmtId="164" fontId="13" fillId="0" borderId="1" xfId="2" applyNumberFormat="1" applyFont="1" applyBorder="1"/>
    <xf numFmtId="0" fontId="14" fillId="6" borderId="2" xfId="2" applyFont="1" applyFill="1" applyBorder="1"/>
    <xf numFmtId="2" fontId="14" fillId="6" borderId="2" xfId="2" applyNumberFormat="1" applyFont="1" applyFill="1" applyBorder="1"/>
    <xf numFmtId="167" fontId="14" fillId="6" borderId="2" xfId="2" applyNumberFormat="1" applyFont="1" applyFill="1" applyBorder="1"/>
    <xf numFmtId="164" fontId="14" fillId="6" borderId="2" xfId="2" applyNumberFormat="1" applyFont="1" applyFill="1" applyBorder="1"/>
    <xf numFmtId="0" fontId="17" fillId="0" borderId="0" xfId="2" applyFont="1"/>
    <xf numFmtId="3" fontId="18" fillId="7" borderId="1" xfId="2" applyNumberFormat="1" applyFont="1" applyFill="1" applyBorder="1"/>
    <xf numFmtId="0" fontId="19" fillId="0" borderId="0" xfId="2" applyFont="1" applyAlignment="1">
      <alignment horizontal="right" readingOrder="2"/>
    </xf>
    <xf numFmtId="166" fontId="20" fillId="0" borderId="0" xfId="2" applyNumberFormat="1" applyFont="1"/>
    <xf numFmtId="168" fontId="20" fillId="0" borderId="0" xfId="2" applyNumberFormat="1" applyFont="1"/>
    <xf numFmtId="0" fontId="8" fillId="0" borderId="0" xfId="2" applyAlignment="1">
      <alignment horizontal="right" readingOrder="2"/>
    </xf>
    <xf numFmtId="0" fontId="14" fillId="0" borderId="1" xfId="2" applyFont="1" applyBorder="1"/>
    <xf numFmtId="0" fontId="19" fillId="0" borderId="1" xfId="2" applyFont="1" applyBorder="1" applyAlignment="1">
      <alignment horizontal="right" readingOrder="2"/>
    </xf>
    <xf numFmtId="0" fontId="8" fillId="0" borderId="1" xfId="2" applyBorder="1"/>
    <xf numFmtId="0" fontId="8" fillId="0" borderId="0" xfId="2" applyAlignment="1">
      <alignment vertical="top" wrapText="1"/>
    </xf>
    <xf numFmtId="0" fontId="21" fillId="0" borderId="0" xfId="2" applyFont="1"/>
    <xf numFmtId="0" fontId="11" fillId="2" borderId="1" xfId="2" applyFont="1" applyFill="1" applyBorder="1"/>
    <xf numFmtId="167" fontId="22" fillId="0" borderId="1" xfId="2" applyNumberFormat="1" applyFont="1" applyBorder="1"/>
    <xf numFmtId="0" fontId="9" fillId="0" borderId="0" xfId="2" applyFont="1" applyAlignment="1">
      <alignment vertical="center"/>
    </xf>
    <xf numFmtId="0" fontId="10" fillId="0" borderId="0" xfId="2" applyFont="1" applyAlignment="1">
      <alignment horizontal="left" vertical="center" readingOrder="2"/>
    </xf>
    <xf numFmtId="0" fontId="2" fillId="2" borderId="0" xfId="1" applyFont="1" applyFill="1" applyAlignment="1">
      <alignment horizontal="center" vertical="center" readingOrder="2"/>
    </xf>
    <xf numFmtId="0" fontId="3" fillId="0" borderId="0" xfId="1" applyFont="1" applyAlignment="1">
      <alignment horizontal="center" vertical="center" readingOrder="2"/>
    </xf>
    <xf numFmtId="0" fontId="7" fillId="0" borderId="1" xfId="1" applyFont="1" applyBorder="1" applyAlignment="1">
      <alignment horizontal="center" vertical="center"/>
    </xf>
  </cellXfs>
  <cellStyles count="3">
    <cellStyle name="Normal" xfId="0" builtinId="0"/>
    <cellStyle name="Normal 2" xfId="1" xr:uid="{23386276-609A-4737-A725-6CB9652079E7}"/>
    <cellStyle name="Normal 3" xfId="2" xr:uid="{618CF3EE-041F-46BD-A471-BB5799BF6C3B}"/>
  </cellStyles>
  <dxfs count="4">
    <dxf>
      <font>
        <b/>
        <color rgb="FF2E7D74"/>
      </font>
      <fill>
        <patternFill>
          <bgColor rgb="FFDDEBE8"/>
        </patternFill>
      </fill>
    </dxf>
    <dxf>
      <font>
        <b/>
        <color rgb="FFB24830"/>
      </font>
      <fill>
        <patternFill>
          <bgColor rgb="FFF6D9D2"/>
        </patternFill>
      </fill>
    </dxf>
    <dxf>
      <font>
        <b/>
        <color rgb="FF2E7D74"/>
      </font>
      <fill>
        <patternFill>
          <bgColor rgb="FFDDEBE8"/>
        </patternFill>
      </fill>
    </dxf>
    <dxf>
      <font>
        <b/>
        <color rgb="FFB24830"/>
      </font>
      <fill>
        <patternFill>
          <bgColor rgb="FFF6D9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nileframe/handbook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nileframe/handbo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D974-D315-4366-8BDC-09C1639588C4}">
  <sheetPr>
    <tabColor rgb="FFB24830"/>
    <pageSetUpPr fitToPage="1"/>
  </sheetPr>
  <dimension ref="A1:E11"/>
  <sheetViews>
    <sheetView rightToLeft="1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8.42578125" defaultRowHeight="15"/>
  <cols>
    <col min="1" max="1" width="26" style="1" customWidth="1"/>
    <col min="2" max="3" width="16" style="1" customWidth="1"/>
    <col min="4" max="4" width="14" style="1" hidden="1" customWidth="1"/>
    <col min="5" max="5" width="22" style="1" customWidth="1"/>
    <col min="6" max="16384" width="8.42578125" style="1"/>
  </cols>
  <sheetData>
    <row r="1" spans="1:5" ht="25.5" customHeight="1">
      <c r="A1" s="49" t="s">
        <v>0</v>
      </c>
      <c r="B1" s="49"/>
      <c r="C1" s="49"/>
      <c r="D1" s="49"/>
      <c r="E1" s="49"/>
    </row>
    <row r="2" spans="1:5" ht="19.5" customHeight="1">
      <c r="A2" s="50" t="s">
        <v>1</v>
      </c>
      <c r="B2" s="50"/>
      <c r="C2" s="50"/>
      <c r="D2" s="50"/>
      <c r="E2" s="50"/>
    </row>
    <row r="3" spans="1:5" ht="25.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9.5" customHeight="1">
      <c r="A4" s="3" t="s">
        <v>7</v>
      </c>
      <c r="B4" s="4">
        <v>180000</v>
      </c>
      <c r="C4" s="4">
        <v>145300</v>
      </c>
      <c r="D4" s="5">
        <f t="shared" ref="D4:D9" si="0">IFERROR(C4/B4-1,0)</f>
        <v>-0.19277777777777783</v>
      </c>
      <c r="E4" s="6" t="s">
        <v>8</v>
      </c>
    </row>
    <row r="5" spans="1:5" ht="19.5" customHeight="1">
      <c r="A5" s="3" t="s">
        <v>9</v>
      </c>
      <c r="B5" s="4">
        <v>90000</v>
      </c>
      <c r="C5" s="4">
        <v>91200</v>
      </c>
      <c r="D5" s="5">
        <f t="shared" si="0"/>
        <v>1.3333333333333419E-2</v>
      </c>
      <c r="E5" s="6" t="s">
        <v>10</v>
      </c>
    </row>
    <row r="6" spans="1:5" ht="19.5" customHeight="1">
      <c r="A6" s="3" t="s">
        <v>11</v>
      </c>
      <c r="B6" s="4">
        <v>65000</v>
      </c>
      <c r="C6" s="4">
        <v>61200</v>
      </c>
      <c r="D6" s="5">
        <f t="shared" si="0"/>
        <v>-5.8461538461538454E-2</v>
      </c>
    </row>
    <row r="7" spans="1:5" ht="19.5" hidden="1" customHeight="1">
      <c r="A7" s="3" t="s">
        <v>12</v>
      </c>
      <c r="B7" s="4">
        <v>40000</v>
      </c>
      <c r="C7" s="4">
        <v>38900</v>
      </c>
      <c r="D7" s="5">
        <f t="shared" si="0"/>
        <v>-2.7499999999999969E-2</v>
      </c>
    </row>
    <row r="8" spans="1:5" ht="19.5" customHeight="1">
      <c r="A8" s="3" t="s">
        <v>13</v>
      </c>
      <c r="B8" s="4">
        <v>55000</v>
      </c>
      <c r="C8" s="4">
        <v>68400</v>
      </c>
      <c r="D8" s="5">
        <f t="shared" si="0"/>
        <v>0.24363636363636365</v>
      </c>
      <c r="E8" s="6" t="s">
        <v>14</v>
      </c>
    </row>
    <row r="9" spans="1:5" ht="19.5" customHeight="1">
      <c r="A9" s="7" t="s">
        <v>15</v>
      </c>
      <c r="B9" s="8">
        <f>SUM(B4:B8)</f>
        <v>430000</v>
      </c>
      <c r="C9" s="8">
        <f>SUM(C4:C8)</f>
        <v>405000</v>
      </c>
      <c r="D9" s="9">
        <f t="shared" si="0"/>
        <v>-5.8139534883720922E-2</v>
      </c>
    </row>
    <row r="10" spans="1:5" ht="15" customHeight="1">
      <c r="A10" s="3" t="s">
        <v>16</v>
      </c>
      <c r="B10" s="10">
        <v>46278</v>
      </c>
    </row>
    <row r="11" spans="1:5" ht="15" customHeight="1">
      <c r="A11" s="3" t="s">
        <v>17</v>
      </c>
      <c r="B11" s="3" t="s">
        <v>18</v>
      </c>
    </row>
  </sheetData>
  <mergeCells count="2">
    <mergeCell ref="A1:E1"/>
    <mergeCell ref="A2:E2"/>
  </mergeCells>
  <conditionalFormatting sqref="D4:D9">
    <cfRule type="cellIs" dxfId="3" priority="1" operator="greaterThan">
      <formula>0</formula>
    </cfRule>
    <cfRule type="cellIs" dxfId="2" priority="2" operator="lessThan">
      <formula>0</formula>
    </cfRule>
  </conditionalFormatting>
  <hyperlinks>
    <hyperlink ref="B11" r:id="rId1" display="example.com" xr:uid="{B05873BA-77D0-4CD1-ADF3-872853D87C56}"/>
  </hyperlinks>
  <pageMargins left="0.70866141732283472" right="0.70866141732283472" top="0.74803149606299213" bottom="0.74803149606299213" header="0.31496062992125984" footer="0.31496062992125984"/>
  <pageSetup orientation="portrait" r:id="rId2"/>
  <headerFooter>
    <oddHeader>&amp;L&amp;"Aptos"&amp;10&amp;K000000 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B19A-1037-4B25-9D1C-0A2E371DC98A}">
  <sheetPr>
    <tabColor rgb="FF2E7D74"/>
    <pageSetUpPr fitToPage="1"/>
  </sheetPr>
  <dimension ref="A1:C5"/>
  <sheetViews>
    <sheetView workbookViewId="0">
      <pane ySplit="2" topLeftCell="A3" activePane="bottomLeft" state="frozen"/>
      <selection pane="bottomLeft" sqref="A1:C1"/>
    </sheetView>
  </sheetViews>
  <sheetFormatPr defaultColWidth="8.42578125" defaultRowHeight="15"/>
  <cols>
    <col min="1" max="1" width="18" style="1" customWidth="1"/>
    <col min="2" max="3" width="14" style="1" customWidth="1"/>
    <col min="4" max="16384" width="8.42578125" style="1"/>
  </cols>
  <sheetData>
    <row r="1" spans="1:3" ht="25.5" customHeight="1">
      <c r="A1" s="51" t="s">
        <v>19</v>
      </c>
      <c r="B1" s="51"/>
      <c r="C1" s="51"/>
    </row>
    <row r="2" spans="1:3" ht="19.5" customHeight="1">
      <c r="A2" s="11" t="s">
        <v>20</v>
      </c>
      <c r="B2" s="11" t="s">
        <v>21</v>
      </c>
      <c r="C2" s="11" t="s">
        <v>22</v>
      </c>
    </row>
    <row r="3" spans="1:3" ht="15" customHeight="1">
      <c r="A3" s="12" t="s">
        <v>23</v>
      </c>
      <c r="B3" s="13">
        <v>270000</v>
      </c>
      <c r="C3" s="13">
        <v>236500</v>
      </c>
    </row>
    <row r="4" spans="1:3" ht="15" customHeight="1">
      <c r="A4" s="12" t="s">
        <v>24</v>
      </c>
      <c r="B4" s="13">
        <v>160000</v>
      </c>
      <c r="C4" s="13">
        <v>168500</v>
      </c>
    </row>
    <row r="5" spans="1:3" ht="15" customHeight="1">
      <c r="A5" s="12" t="s">
        <v>25</v>
      </c>
      <c r="B5" s="13">
        <f>SUM(B3:B4)</f>
        <v>430000</v>
      </c>
      <c r="C5" s="13">
        <f>SUM(C3:C4)</f>
        <v>405000</v>
      </c>
    </row>
  </sheetData>
  <mergeCells count="1">
    <mergeCell ref="A1:C1"/>
  </mergeCells>
  <pageMargins left="0.7" right="0.7" top="0.75" bottom="0.75" header="0.3" footer="0.3"/>
  <headerFooter>
    <oddHeader>&amp;L&amp;"Aptos"&amp;10&amp;K000000 Public&amp;1#_x000D_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9273-F4BD-4CFE-AA96-616C3B7F7CD0}">
  <sheetPr>
    <tabColor rgb="FF2E7D74"/>
    <pageSetUpPr fitToPage="1"/>
  </sheetPr>
  <dimension ref="A1:I9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I1"/>
    </sheetView>
  </sheetViews>
  <sheetFormatPr defaultColWidth="8.7109375" defaultRowHeight="15"/>
  <cols>
    <col min="1" max="1" width="10" style="14" customWidth="1"/>
    <col min="2" max="2" width="6" style="14" customWidth="1"/>
    <col min="3" max="4" width="30" style="14" customWidth="1"/>
    <col min="5" max="5" width="14" style="14" customWidth="1"/>
    <col min="6" max="6" width="10" style="14" customWidth="1"/>
    <col min="7" max="7" width="11" style="14" customWidth="1"/>
    <col min="8" max="8" width="10" style="14" customWidth="1"/>
    <col min="9" max="9" width="13" style="14" customWidth="1"/>
    <col min="10" max="16384" width="8.7109375" style="14"/>
  </cols>
  <sheetData>
    <row r="1" spans="1:9" ht="25.5" customHeight="1">
      <c r="A1" s="47" t="s">
        <v>26</v>
      </c>
      <c r="B1" s="47"/>
      <c r="C1" s="47"/>
      <c r="D1" s="47"/>
      <c r="E1" s="47"/>
      <c r="F1" s="47"/>
      <c r="G1" s="47"/>
      <c r="H1" s="47"/>
      <c r="I1" s="47"/>
    </row>
    <row r="2" spans="1:9" ht="19.5" customHeight="1">
      <c r="A2" s="48" t="s">
        <v>27</v>
      </c>
      <c r="B2" s="48"/>
      <c r="C2" s="48"/>
      <c r="D2" s="48"/>
      <c r="E2" s="48"/>
      <c r="F2" s="48"/>
      <c r="G2" s="48"/>
      <c r="H2" s="48"/>
      <c r="I2" s="48"/>
    </row>
    <row r="4" spans="1:9" ht="31.5" customHeight="1">
      <c r="A4" s="15" t="s">
        <v>28</v>
      </c>
      <c r="B4" s="15" t="s">
        <v>29</v>
      </c>
      <c r="C4" s="15" t="s">
        <v>30</v>
      </c>
      <c r="D4" s="15" t="s">
        <v>31</v>
      </c>
      <c r="E4" s="15" t="s">
        <v>32</v>
      </c>
      <c r="F4" s="15" t="s">
        <v>33</v>
      </c>
      <c r="G4" s="15" t="s">
        <v>34</v>
      </c>
      <c r="H4" s="15" t="s">
        <v>35</v>
      </c>
      <c r="I4" s="15" t="s">
        <v>36</v>
      </c>
    </row>
    <row r="5" spans="1:9" ht="18" customHeight="1">
      <c r="A5" s="16" t="s">
        <v>37</v>
      </c>
      <c r="B5" s="17">
        <v>4</v>
      </c>
      <c r="C5" s="18" t="s">
        <v>38</v>
      </c>
      <c r="D5" s="19" t="s">
        <v>39</v>
      </c>
      <c r="E5" s="17" t="s">
        <v>40</v>
      </c>
      <c r="F5" s="20">
        <v>0.7</v>
      </c>
      <c r="G5" s="18" t="s">
        <v>41</v>
      </c>
      <c r="H5" s="21">
        <v>6.5</v>
      </c>
      <c r="I5" s="22">
        <f t="shared" ref="I5:I16" si="0">$H5*Rate_per_hour</f>
        <v>2925</v>
      </c>
    </row>
    <row r="6" spans="1:9" ht="18" customHeight="1">
      <c r="A6" s="23" t="s">
        <v>42</v>
      </c>
      <c r="B6" s="24">
        <v>4</v>
      </c>
      <c r="C6" s="25" t="s">
        <v>43</v>
      </c>
      <c r="D6" s="26" t="s">
        <v>44</v>
      </c>
      <c r="E6" s="24" t="s">
        <v>40</v>
      </c>
      <c r="F6" s="27">
        <v>1.25</v>
      </c>
      <c r="G6" s="25" t="s">
        <v>41</v>
      </c>
      <c r="H6" s="28">
        <v>4</v>
      </c>
      <c r="I6" s="29">
        <f t="shared" si="0"/>
        <v>1800</v>
      </c>
    </row>
    <row r="7" spans="1:9" ht="18" customHeight="1">
      <c r="A7" s="16" t="s">
        <v>45</v>
      </c>
      <c r="B7" s="17">
        <v>4</v>
      </c>
      <c r="C7" s="18" t="s">
        <v>46</v>
      </c>
      <c r="D7" s="19" t="s">
        <v>47</v>
      </c>
      <c r="E7" s="17" t="s">
        <v>48</v>
      </c>
      <c r="F7" s="20">
        <v>6.5</v>
      </c>
      <c r="G7" s="18" t="s">
        <v>49</v>
      </c>
      <c r="H7" s="21">
        <v>18</v>
      </c>
      <c r="I7" s="22">
        <f t="shared" si="0"/>
        <v>8100</v>
      </c>
    </row>
    <row r="8" spans="1:9" ht="18" customHeight="1">
      <c r="A8" s="23" t="s">
        <v>50</v>
      </c>
      <c r="B8" s="24">
        <v>4</v>
      </c>
      <c r="C8" s="25" t="s">
        <v>51</v>
      </c>
      <c r="D8" s="26" t="s">
        <v>52</v>
      </c>
      <c r="E8" s="24" t="s">
        <v>53</v>
      </c>
      <c r="F8" s="27">
        <v>0.92</v>
      </c>
      <c r="G8" s="25" t="s">
        <v>49</v>
      </c>
      <c r="H8" s="28">
        <v>3.5</v>
      </c>
      <c r="I8" s="29">
        <f t="shared" si="0"/>
        <v>1575</v>
      </c>
    </row>
    <row r="9" spans="1:9" ht="18" customHeight="1">
      <c r="A9" s="16" t="s">
        <v>54</v>
      </c>
      <c r="B9" s="17">
        <v>4</v>
      </c>
      <c r="C9" s="18" t="s">
        <v>55</v>
      </c>
      <c r="D9" s="19" t="s">
        <v>56</v>
      </c>
      <c r="E9" s="17" t="s">
        <v>48</v>
      </c>
      <c r="F9" s="20">
        <v>1.1299999999999999</v>
      </c>
      <c r="G9" s="18" t="s">
        <v>41</v>
      </c>
      <c r="H9" s="21">
        <v>7</v>
      </c>
      <c r="I9" s="22">
        <f t="shared" si="0"/>
        <v>3150</v>
      </c>
    </row>
    <row r="10" spans="1:9" ht="18" customHeight="1">
      <c r="A10" s="23" t="s">
        <v>57</v>
      </c>
      <c r="B10" s="24">
        <v>5</v>
      </c>
      <c r="C10" s="25" t="s">
        <v>58</v>
      </c>
      <c r="D10" s="26" t="s">
        <v>59</v>
      </c>
      <c r="E10" s="24" t="s">
        <v>60</v>
      </c>
      <c r="F10" s="27">
        <v>2.4</v>
      </c>
      <c r="G10" s="25" t="s">
        <v>61</v>
      </c>
      <c r="H10" s="28">
        <v>9.5</v>
      </c>
      <c r="I10" s="29">
        <f t="shared" si="0"/>
        <v>4275</v>
      </c>
    </row>
    <row r="11" spans="1:9" ht="18" customHeight="1">
      <c r="A11" s="16" t="s">
        <v>62</v>
      </c>
      <c r="B11" s="17">
        <v>5</v>
      </c>
      <c r="C11" s="18" t="s">
        <v>63</v>
      </c>
      <c r="D11" s="19" t="s">
        <v>64</v>
      </c>
      <c r="E11" s="17" t="s">
        <v>60</v>
      </c>
      <c r="F11" s="20">
        <v>3.1</v>
      </c>
      <c r="G11" s="18" t="s">
        <v>61</v>
      </c>
      <c r="H11" s="21">
        <v>12</v>
      </c>
      <c r="I11" s="22">
        <f t="shared" si="0"/>
        <v>5400</v>
      </c>
    </row>
    <row r="12" spans="1:9" ht="18" customHeight="1">
      <c r="A12" s="23" t="s">
        <v>65</v>
      </c>
      <c r="B12" s="24">
        <v>5</v>
      </c>
      <c r="C12" s="25" t="s">
        <v>66</v>
      </c>
      <c r="D12" s="26" t="s">
        <v>67</v>
      </c>
      <c r="E12" s="24" t="s">
        <v>68</v>
      </c>
      <c r="F12" s="27">
        <v>5.8</v>
      </c>
      <c r="G12" s="25" t="s">
        <v>49</v>
      </c>
      <c r="H12" s="28">
        <v>0</v>
      </c>
      <c r="I12" s="29">
        <f t="shared" si="0"/>
        <v>0</v>
      </c>
    </row>
    <row r="13" spans="1:9" ht="18" customHeight="1">
      <c r="A13" s="16" t="s">
        <v>69</v>
      </c>
      <c r="B13" s="17">
        <v>5</v>
      </c>
      <c r="C13" s="18" t="s">
        <v>70</v>
      </c>
      <c r="D13" s="19" t="s">
        <v>71</v>
      </c>
      <c r="E13" s="17" t="s">
        <v>48</v>
      </c>
      <c r="F13" s="20">
        <v>0.85</v>
      </c>
      <c r="G13" s="18" t="s">
        <v>41</v>
      </c>
      <c r="H13" s="21">
        <v>5.5</v>
      </c>
      <c r="I13" s="22">
        <f t="shared" si="0"/>
        <v>2475</v>
      </c>
    </row>
    <row r="14" spans="1:9" ht="18" customHeight="1">
      <c r="A14" s="23" t="s">
        <v>72</v>
      </c>
      <c r="B14" s="24">
        <v>6</v>
      </c>
      <c r="C14" s="25" t="s">
        <v>73</v>
      </c>
      <c r="D14" s="26" t="s">
        <v>74</v>
      </c>
      <c r="E14" s="24" t="s">
        <v>60</v>
      </c>
      <c r="F14" s="27">
        <v>1.95</v>
      </c>
      <c r="G14" s="25" t="s">
        <v>61</v>
      </c>
      <c r="H14" s="28">
        <v>8</v>
      </c>
      <c r="I14" s="29">
        <f t="shared" si="0"/>
        <v>3600</v>
      </c>
    </row>
    <row r="15" spans="1:9" ht="18" customHeight="1">
      <c r="A15" s="16" t="s">
        <v>75</v>
      </c>
      <c r="B15" s="17">
        <v>6</v>
      </c>
      <c r="C15" s="18" t="s">
        <v>76</v>
      </c>
      <c r="D15" s="19" t="s">
        <v>77</v>
      </c>
      <c r="E15" s="17" t="s">
        <v>68</v>
      </c>
      <c r="F15" s="20">
        <v>2.6</v>
      </c>
      <c r="G15" s="18" t="s">
        <v>41</v>
      </c>
      <c r="H15" s="21">
        <v>0</v>
      </c>
      <c r="I15" s="22">
        <f t="shared" si="0"/>
        <v>0</v>
      </c>
    </row>
    <row r="16" spans="1:9" ht="18" customHeight="1" thickBot="1">
      <c r="A16" s="23" t="s">
        <v>78</v>
      </c>
      <c r="B16" s="24">
        <v>6</v>
      </c>
      <c r="C16" s="25" t="s">
        <v>79</v>
      </c>
      <c r="D16" s="26" t="s">
        <v>80</v>
      </c>
      <c r="E16" s="24" t="s">
        <v>68</v>
      </c>
      <c r="F16" s="27">
        <v>4.2</v>
      </c>
      <c r="G16" s="25" t="s">
        <v>49</v>
      </c>
      <c r="H16" s="28">
        <v>0</v>
      </c>
      <c r="I16" s="29">
        <f t="shared" si="0"/>
        <v>0</v>
      </c>
    </row>
    <row r="17" spans="1:9">
      <c r="A17" s="30"/>
      <c r="B17" s="30"/>
      <c r="C17" s="30" t="s">
        <v>81</v>
      </c>
      <c r="D17" s="30"/>
      <c r="E17" s="30"/>
      <c r="F17" s="31">
        <f>SUM(F5:F16)</f>
        <v>31.400000000000002</v>
      </c>
      <c r="G17" s="30"/>
      <c r="H17" s="32">
        <f>SUM(H5:H16)</f>
        <v>74</v>
      </c>
      <c r="I17" s="33">
        <f>SUM(I5:I16)</f>
        <v>33300</v>
      </c>
    </row>
    <row r="18" spans="1:9" ht="18" customHeight="1">
      <c r="A18" s="16" t="s">
        <v>37</v>
      </c>
      <c r="B18" s="17">
        <v>4</v>
      </c>
      <c r="C18" s="18" t="s">
        <v>38</v>
      </c>
      <c r="D18" s="19" t="s">
        <v>39</v>
      </c>
      <c r="E18" s="17" t="s">
        <v>40</v>
      </c>
      <c r="F18" s="20">
        <v>0.7</v>
      </c>
      <c r="G18" s="18" t="s">
        <v>41</v>
      </c>
      <c r="H18" s="21">
        <v>6.5</v>
      </c>
      <c r="I18" s="22">
        <v>2925</v>
      </c>
    </row>
    <row r="19" spans="1:9" ht="18" customHeight="1">
      <c r="A19" s="23" t="s">
        <v>42</v>
      </c>
      <c r="B19" s="24">
        <v>4</v>
      </c>
      <c r="C19" s="25" t="s">
        <v>43</v>
      </c>
      <c r="D19" s="26" t="s">
        <v>44</v>
      </c>
      <c r="E19" s="24" t="s">
        <v>40</v>
      </c>
      <c r="F19" s="27">
        <v>1.25</v>
      </c>
      <c r="G19" s="25" t="s">
        <v>41</v>
      </c>
      <c r="H19" s="28">
        <v>4</v>
      </c>
      <c r="I19" s="29">
        <v>1800</v>
      </c>
    </row>
    <row r="20" spans="1:9" ht="18" customHeight="1">
      <c r="A20" s="16" t="s">
        <v>37</v>
      </c>
      <c r="B20" s="17">
        <v>4</v>
      </c>
      <c r="C20" s="18" t="s">
        <v>38</v>
      </c>
      <c r="D20" s="19" t="s">
        <v>39</v>
      </c>
      <c r="E20" s="17" t="s">
        <v>40</v>
      </c>
      <c r="F20" s="20">
        <v>0.7</v>
      </c>
      <c r="G20" s="18" t="s">
        <v>41</v>
      </c>
      <c r="H20" s="21">
        <v>6.5</v>
      </c>
      <c r="I20" s="22">
        <v>2925</v>
      </c>
    </row>
    <row r="21" spans="1:9" ht="18" customHeight="1">
      <c r="A21" s="23" t="s">
        <v>42</v>
      </c>
      <c r="B21" s="24">
        <v>4</v>
      </c>
      <c r="C21" s="25" t="s">
        <v>43</v>
      </c>
      <c r="D21" s="26" t="s">
        <v>44</v>
      </c>
      <c r="E21" s="24" t="s">
        <v>40</v>
      </c>
      <c r="F21" s="27">
        <v>1.25</v>
      </c>
      <c r="G21" s="25" t="s">
        <v>41</v>
      </c>
      <c r="H21" s="28">
        <v>4</v>
      </c>
      <c r="I21" s="29">
        <v>1800</v>
      </c>
    </row>
    <row r="22" spans="1:9" ht="18" customHeight="1">
      <c r="A22" s="16" t="s">
        <v>37</v>
      </c>
      <c r="B22" s="17">
        <v>4</v>
      </c>
      <c r="C22" s="18" t="s">
        <v>38</v>
      </c>
      <c r="D22" s="19" t="s">
        <v>39</v>
      </c>
      <c r="E22" s="17" t="s">
        <v>40</v>
      </c>
      <c r="F22" s="20">
        <v>0.7</v>
      </c>
      <c r="G22" s="18" t="s">
        <v>41</v>
      </c>
      <c r="H22" s="21">
        <v>6.5</v>
      </c>
      <c r="I22" s="22">
        <v>2925</v>
      </c>
    </row>
    <row r="23" spans="1:9" ht="18" customHeight="1">
      <c r="A23" s="23" t="s">
        <v>42</v>
      </c>
      <c r="B23" s="24">
        <v>4</v>
      </c>
      <c r="C23" s="25" t="s">
        <v>43</v>
      </c>
      <c r="D23" s="26" t="s">
        <v>44</v>
      </c>
      <c r="E23" s="24" t="s">
        <v>40</v>
      </c>
      <c r="F23" s="27">
        <v>1.25</v>
      </c>
      <c r="G23" s="25" t="s">
        <v>41</v>
      </c>
      <c r="H23" s="28">
        <v>4</v>
      </c>
      <c r="I23" s="29">
        <v>1800</v>
      </c>
    </row>
    <row r="24" spans="1:9" ht="18" customHeight="1">
      <c r="A24" s="16" t="s">
        <v>37</v>
      </c>
      <c r="B24" s="17">
        <v>4</v>
      </c>
      <c r="C24" s="18" t="s">
        <v>38</v>
      </c>
      <c r="D24" s="19" t="s">
        <v>39</v>
      </c>
      <c r="E24" s="17" t="s">
        <v>40</v>
      </c>
      <c r="F24" s="20">
        <v>0.7</v>
      </c>
      <c r="G24" s="18" t="s">
        <v>41</v>
      </c>
      <c r="H24" s="21">
        <v>6.5</v>
      </c>
      <c r="I24" s="22">
        <v>2925</v>
      </c>
    </row>
    <row r="25" spans="1:9" ht="18" customHeight="1">
      <c r="A25" s="23" t="s">
        <v>42</v>
      </c>
      <c r="B25" s="24">
        <v>4</v>
      </c>
      <c r="C25" s="25" t="s">
        <v>43</v>
      </c>
      <c r="D25" s="26" t="s">
        <v>44</v>
      </c>
      <c r="E25" s="24" t="s">
        <v>40</v>
      </c>
      <c r="F25" s="27">
        <v>1.25</v>
      </c>
      <c r="G25" s="25" t="s">
        <v>41</v>
      </c>
      <c r="H25" s="28">
        <v>4</v>
      </c>
      <c r="I25" s="29">
        <v>1800</v>
      </c>
    </row>
    <row r="26" spans="1:9" ht="18" customHeight="1">
      <c r="A26" s="16" t="s">
        <v>37</v>
      </c>
      <c r="B26" s="17">
        <v>4</v>
      </c>
      <c r="C26" s="18" t="s">
        <v>38</v>
      </c>
      <c r="D26" s="19" t="s">
        <v>39</v>
      </c>
      <c r="E26" s="17" t="s">
        <v>40</v>
      </c>
      <c r="F26" s="20">
        <v>0.7</v>
      </c>
      <c r="G26" s="18" t="s">
        <v>41</v>
      </c>
      <c r="H26" s="21">
        <v>6.5</v>
      </c>
      <c r="I26" s="22">
        <v>2925</v>
      </c>
    </row>
    <row r="27" spans="1:9" ht="18" customHeight="1">
      <c r="A27" s="23" t="s">
        <v>42</v>
      </c>
      <c r="B27" s="24">
        <v>4</v>
      </c>
      <c r="C27" s="25" t="s">
        <v>43</v>
      </c>
      <c r="D27" s="26" t="s">
        <v>44</v>
      </c>
      <c r="E27" s="24" t="s">
        <v>40</v>
      </c>
      <c r="F27" s="27">
        <v>1.25</v>
      </c>
      <c r="G27" s="25" t="s">
        <v>41</v>
      </c>
      <c r="H27" s="28">
        <v>4</v>
      </c>
      <c r="I27" s="29">
        <v>1800</v>
      </c>
    </row>
    <row r="28" spans="1:9" ht="18" customHeight="1">
      <c r="A28" s="16" t="s">
        <v>37</v>
      </c>
      <c r="B28" s="17">
        <v>4</v>
      </c>
      <c r="C28" s="18" t="s">
        <v>38</v>
      </c>
      <c r="D28" s="19" t="s">
        <v>39</v>
      </c>
      <c r="E28" s="17" t="s">
        <v>40</v>
      </c>
      <c r="F28" s="20">
        <v>0.7</v>
      </c>
      <c r="G28" s="18" t="s">
        <v>41</v>
      </c>
      <c r="H28" s="21">
        <v>6.5</v>
      </c>
      <c r="I28" s="22">
        <v>2925</v>
      </c>
    </row>
    <row r="29" spans="1:9" ht="18" customHeight="1">
      <c r="A29" s="23" t="s">
        <v>42</v>
      </c>
      <c r="B29" s="24">
        <v>4</v>
      </c>
      <c r="C29" s="25" t="s">
        <v>43</v>
      </c>
      <c r="D29" s="26" t="s">
        <v>44</v>
      </c>
      <c r="E29" s="24" t="s">
        <v>40</v>
      </c>
      <c r="F29" s="27">
        <v>1.25</v>
      </c>
      <c r="G29" s="25" t="s">
        <v>41</v>
      </c>
      <c r="H29" s="28">
        <v>4</v>
      </c>
      <c r="I29" s="29">
        <v>1800</v>
      </c>
    </row>
    <row r="30" spans="1:9" ht="18" customHeight="1">
      <c r="A30" s="16" t="s">
        <v>37</v>
      </c>
      <c r="B30" s="17">
        <v>4</v>
      </c>
      <c r="C30" s="18" t="s">
        <v>38</v>
      </c>
      <c r="D30" s="19" t="s">
        <v>39</v>
      </c>
      <c r="E30" s="17" t="s">
        <v>40</v>
      </c>
      <c r="F30" s="20">
        <v>0.7</v>
      </c>
      <c r="G30" s="18" t="s">
        <v>41</v>
      </c>
      <c r="H30" s="21">
        <v>6.5</v>
      </c>
      <c r="I30" s="22">
        <v>2925</v>
      </c>
    </row>
    <row r="31" spans="1:9" ht="18" customHeight="1">
      <c r="A31" s="23" t="s">
        <v>42</v>
      </c>
      <c r="B31" s="24">
        <v>4</v>
      </c>
      <c r="C31" s="25" t="s">
        <v>43</v>
      </c>
      <c r="D31" s="26" t="s">
        <v>44</v>
      </c>
      <c r="E31" s="24" t="s">
        <v>40</v>
      </c>
      <c r="F31" s="27">
        <v>1.25</v>
      </c>
      <c r="G31" s="25" t="s">
        <v>41</v>
      </c>
      <c r="H31" s="28">
        <v>4</v>
      </c>
      <c r="I31" s="29">
        <v>1800</v>
      </c>
    </row>
    <row r="32" spans="1:9" ht="18" customHeight="1">
      <c r="A32" s="16" t="s">
        <v>37</v>
      </c>
      <c r="B32" s="17">
        <v>4</v>
      </c>
      <c r="C32" s="18" t="s">
        <v>38</v>
      </c>
      <c r="D32" s="19" t="s">
        <v>39</v>
      </c>
      <c r="E32" s="17" t="s">
        <v>40</v>
      </c>
      <c r="F32" s="20">
        <v>0.7</v>
      </c>
      <c r="G32" s="18" t="s">
        <v>41</v>
      </c>
      <c r="H32" s="21">
        <v>6.5</v>
      </c>
      <c r="I32" s="22">
        <v>2925</v>
      </c>
    </row>
    <row r="33" spans="1:9" ht="18" customHeight="1">
      <c r="A33" s="23" t="s">
        <v>42</v>
      </c>
      <c r="B33" s="24">
        <v>4</v>
      </c>
      <c r="C33" s="25" t="s">
        <v>43</v>
      </c>
      <c r="D33" s="26" t="s">
        <v>44</v>
      </c>
      <c r="E33" s="24" t="s">
        <v>40</v>
      </c>
      <c r="F33" s="27">
        <v>1.25</v>
      </c>
      <c r="G33" s="25" t="s">
        <v>41</v>
      </c>
      <c r="H33" s="28">
        <v>4</v>
      </c>
      <c r="I33" s="29">
        <v>1800</v>
      </c>
    </row>
    <row r="34" spans="1:9" ht="18" customHeight="1">
      <c r="A34" s="16" t="s">
        <v>37</v>
      </c>
      <c r="B34" s="17">
        <v>4</v>
      </c>
      <c r="C34" s="18" t="s">
        <v>38</v>
      </c>
      <c r="D34" s="19" t="s">
        <v>39</v>
      </c>
      <c r="E34" s="17" t="s">
        <v>40</v>
      </c>
      <c r="F34" s="20">
        <v>0.7</v>
      </c>
      <c r="G34" s="18" t="s">
        <v>41</v>
      </c>
      <c r="H34" s="21">
        <v>6.5</v>
      </c>
      <c r="I34" s="22">
        <v>2925</v>
      </c>
    </row>
    <row r="35" spans="1:9" ht="18" customHeight="1">
      <c r="A35" s="23" t="s">
        <v>42</v>
      </c>
      <c r="B35" s="24">
        <v>4</v>
      </c>
      <c r="C35" s="25" t="s">
        <v>43</v>
      </c>
      <c r="D35" s="26" t="s">
        <v>44</v>
      </c>
      <c r="E35" s="24" t="s">
        <v>40</v>
      </c>
      <c r="F35" s="27">
        <v>1.25</v>
      </c>
      <c r="G35" s="25" t="s">
        <v>41</v>
      </c>
      <c r="H35" s="28">
        <v>4</v>
      </c>
      <c r="I35" s="29">
        <v>1800</v>
      </c>
    </row>
    <row r="36" spans="1:9" ht="18" customHeight="1">
      <c r="A36" s="16" t="s">
        <v>37</v>
      </c>
      <c r="B36" s="17">
        <v>4</v>
      </c>
      <c r="C36" s="18" t="s">
        <v>38</v>
      </c>
      <c r="D36" s="19" t="s">
        <v>39</v>
      </c>
      <c r="E36" s="17" t="s">
        <v>40</v>
      </c>
      <c r="F36" s="20">
        <v>0.7</v>
      </c>
      <c r="G36" s="18" t="s">
        <v>41</v>
      </c>
      <c r="H36" s="21">
        <v>6.5</v>
      </c>
      <c r="I36" s="22">
        <v>2925</v>
      </c>
    </row>
    <row r="37" spans="1:9" ht="18" customHeight="1">
      <c r="A37" s="23" t="s">
        <v>42</v>
      </c>
      <c r="B37" s="24">
        <v>4</v>
      </c>
      <c r="C37" s="25" t="s">
        <v>43</v>
      </c>
      <c r="D37" s="26" t="s">
        <v>44</v>
      </c>
      <c r="E37" s="24" t="s">
        <v>40</v>
      </c>
      <c r="F37" s="27">
        <v>1.25</v>
      </c>
      <c r="G37" s="25" t="s">
        <v>41</v>
      </c>
      <c r="H37" s="28">
        <v>4</v>
      </c>
      <c r="I37" s="29">
        <v>1800</v>
      </c>
    </row>
    <row r="38" spans="1:9" ht="18" customHeight="1">
      <c r="A38" s="16" t="s">
        <v>37</v>
      </c>
      <c r="B38" s="17">
        <v>4</v>
      </c>
      <c r="C38" s="18" t="s">
        <v>38</v>
      </c>
      <c r="D38" s="19" t="s">
        <v>39</v>
      </c>
      <c r="E38" s="17" t="s">
        <v>40</v>
      </c>
      <c r="F38" s="20">
        <v>0.7</v>
      </c>
      <c r="G38" s="18" t="s">
        <v>41</v>
      </c>
      <c r="H38" s="21">
        <v>6.5</v>
      </c>
      <c r="I38" s="22">
        <v>2925</v>
      </c>
    </row>
    <row r="39" spans="1:9" ht="18" customHeight="1">
      <c r="A39" s="23" t="s">
        <v>42</v>
      </c>
      <c r="B39" s="24">
        <v>4</v>
      </c>
      <c r="C39" s="25" t="s">
        <v>43</v>
      </c>
      <c r="D39" s="26" t="s">
        <v>44</v>
      </c>
      <c r="E39" s="24" t="s">
        <v>40</v>
      </c>
      <c r="F39" s="27">
        <v>1.25</v>
      </c>
      <c r="G39" s="25" t="s">
        <v>41</v>
      </c>
      <c r="H39" s="28">
        <v>4</v>
      </c>
      <c r="I39" s="29">
        <v>1800</v>
      </c>
    </row>
    <row r="40" spans="1:9" ht="18" customHeight="1">
      <c r="A40" s="16" t="s">
        <v>37</v>
      </c>
      <c r="B40" s="17">
        <v>4</v>
      </c>
      <c r="C40" s="18" t="s">
        <v>38</v>
      </c>
      <c r="D40" s="19" t="s">
        <v>39</v>
      </c>
      <c r="E40" s="17" t="s">
        <v>40</v>
      </c>
      <c r="F40" s="20">
        <v>0.7</v>
      </c>
      <c r="G40" s="18" t="s">
        <v>41</v>
      </c>
      <c r="H40" s="21">
        <v>6.5</v>
      </c>
      <c r="I40" s="22">
        <v>2925</v>
      </c>
    </row>
    <row r="41" spans="1:9" ht="18" customHeight="1">
      <c r="A41" s="23" t="s">
        <v>42</v>
      </c>
      <c r="B41" s="24">
        <v>4</v>
      </c>
      <c r="C41" s="25" t="s">
        <v>43</v>
      </c>
      <c r="D41" s="26" t="s">
        <v>44</v>
      </c>
      <c r="E41" s="24" t="s">
        <v>40</v>
      </c>
      <c r="F41" s="27">
        <v>1.25</v>
      </c>
      <c r="G41" s="25" t="s">
        <v>41</v>
      </c>
      <c r="H41" s="28">
        <v>4</v>
      </c>
      <c r="I41" s="29">
        <v>1800</v>
      </c>
    </row>
    <row r="42" spans="1:9" ht="18" customHeight="1">
      <c r="A42" s="16" t="s">
        <v>37</v>
      </c>
      <c r="B42" s="17">
        <v>4</v>
      </c>
      <c r="C42" s="18" t="s">
        <v>38</v>
      </c>
      <c r="D42" s="19" t="s">
        <v>39</v>
      </c>
      <c r="E42" s="17" t="s">
        <v>40</v>
      </c>
      <c r="F42" s="20">
        <v>0.7</v>
      </c>
      <c r="G42" s="18" t="s">
        <v>41</v>
      </c>
      <c r="H42" s="21">
        <v>6.5</v>
      </c>
      <c r="I42" s="22">
        <v>2925</v>
      </c>
    </row>
    <row r="43" spans="1:9" ht="18" customHeight="1">
      <c r="A43" s="23" t="s">
        <v>42</v>
      </c>
      <c r="B43" s="24">
        <v>4</v>
      </c>
      <c r="C43" s="25" t="s">
        <v>43</v>
      </c>
      <c r="D43" s="26" t="s">
        <v>44</v>
      </c>
      <c r="E43" s="24" t="s">
        <v>40</v>
      </c>
      <c r="F43" s="27">
        <v>1.25</v>
      </c>
      <c r="G43" s="25" t="s">
        <v>41</v>
      </c>
      <c r="H43" s="28">
        <v>4</v>
      </c>
      <c r="I43" s="29">
        <v>1800</v>
      </c>
    </row>
    <row r="44" spans="1:9" ht="18" customHeight="1">
      <c r="A44" s="16" t="s">
        <v>37</v>
      </c>
      <c r="B44" s="17">
        <v>4</v>
      </c>
      <c r="C44" s="18" t="s">
        <v>38</v>
      </c>
      <c r="D44" s="19" t="s">
        <v>39</v>
      </c>
      <c r="E44" s="17" t="s">
        <v>40</v>
      </c>
      <c r="F44" s="20">
        <v>0.7</v>
      </c>
      <c r="G44" s="18" t="s">
        <v>41</v>
      </c>
      <c r="H44" s="21">
        <v>6.5</v>
      </c>
      <c r="I44" s="22">
        <v>2925</v>
      </c>
    </row>
    <row r="45" spans="1:9" ht="18" customHeight="1">
      <c r="A45" s="23" t="s">
        <v>42</v>
      </c>
      <c r="B45" s="24">
        <v>4</v>
      </c>
      <c r="C45" s="25" t="s">
        <v>43</v>
      </c>
      <c r="D45" s="26" t="s">
        <v>44</v>
      </c>
      <c r="E45" s="24" t="s">
        <v>40</v>
      </c>
      <c r="F45" s="27">
        <v>1.25</v>
      </c>
      <c r="G45" s="25" t="s">
        <v>41</v>
      </c>
      <c r="H45" s="28">
        <v>4</v>
      </c>
      <c r="I45" s="29">
        <v>1800</v>
      </c>
    </row>
    <row r="46" spans="1:9" ht="18" customHeight="1">
      <c r="A46" s="16" t="s">
        <v>37</v>
      </c>
      <c r="B46" s="17">
        <v>4</v>
      </c>
      <c r="C46" s="18" t="s">
        <v>38</v>
      </c>
      <c r="D46" s="19" t="s">
        <v>39</v>
      </c>
      <c r="E46" s="17" t="s">
        <v>40</v>
      </c>
      <c r="F46" s="20">
        <v>0.7</v>
      </c>
      <c r="G46" s="18" t="s">
        <v>41</v>
      </c>
      <c r="H46" s="21">
        <v>6.5</v>
      </c>
      <c r="I46" s="22">
        <v>2925</v>
      </c>
    </row>
    <row r="47" spans="1:9" ht="18" customHeight="1">
      <c r="A47" s="23" t="s">
        <v>42</v>
      </c>
      <c r="B47" s="24">
        <v>4</v>
      </c>
      <c r="C47" s="25" t="s">
        <v>43</v>
      </c>
      <c r="D47" s="26" t="s">
        <v>44</v>
      </c>
      <c r="E47" s="24" t="s">
        <v>40</v>
      </c>
      <c r="F47" s="27">
        <v>1.25</v>
      </c>
      <c r="G47" s="25" t="s">
        <v>41</v>
      </c>
      <c r="H47" s="28">
        <v>4</v>
      </c>
      <c r="I47" s="29">
        <v>1800</v>
      </c>
    </row>
    <row r="48" spans="1:9" ht="18" customHeight="1">
      <c r="A48" s="16" t="s">
        <v>37</v>
      </c>
      <c r="B48" s="17">
        <v>4</v>
      </c>
      <c r="C48" s="18" t="s">
        <v>38</v>
      </c>
      <c r="D48" s="19" t="s">
        <v>39</v>
      </c>
      <c r="E48" s="17" t="s">
        <v>40</v>
      </c>
      <c r="F48" s="20">
        <v>0.7</v>
      </c>
      <c r="G48" s="18" t="s">
        <v>41</v>
      </c>
      <c r="H48" s="21">
        <v>6.5</v>
      </c>
      <c r="I48" s="22">
        <v>2925</v>
      </c>
    </row>
    <row r="49" spans="1:9" ht="18" customHeight="1">
      <c r="A49" s="23" t="s">
        <v>42</v>
      </c>
      <c r="B49" s="24">
        <v>4</v>
      </c>
      <c r="C49" s="25" t="s">
        <v>43</v>
      </c>
      <c r="D49" s="26" t="s">
        <v>44</v>
      </c>
      <c r="E49" s="24" t="s">
        <v>40</v>
      </c>
      <c r="F49" s="27">
        <v>1.25</v>
      </c>
      <c r="G49" s="25" t="s">
        <v>41</v>
      </c>
      <c r="H49" s="28">
        <v>4</v>
      </c>
      <c r="I49" s="29">
        <v>1800</v>
      </c>
    </row>
    <row r="50" spans="1:9" ht="18" customHeight="1">
      <c r="A50" s="16" t="s">
        <v>37</v>
      </c>
      <c r="B50" s="17">
        <v>4</v>
      </c>
      <c r="C50" s="18" t="s">
        <v>38</v>
      </c>
      <c r="D50" s="19" t="s">
        <v>39</v>
      </c>
      <c r="E50" s="17" t="s">
        <v>40</v>
      </c>
      <c r="F50" s="20">
        <v>0.7</v>
      </c>
      <c r="G50" s="18" t="s">
        <v>41</v>
      </c>
      <c r="H50" s="21">
        <v>6.5</v>
      </c>
      <c r="I50" s="22">
        <v>2925</v>
      </c>
    </row>
    <row r="51" spans="1:9" ht="18" customHeight="1">
      <c r="A51" s="23" t="s">
        <v>42</v>
      </c>
      <c r="B51" s="24">
        <v>4</v>
      </c>
      <c r="C51" s="25" t="s">
        <v>43</v>
      </c>
      <c r="D51" s="26" t="s">
        <v>44</v>
      </c>
      <c r="E51" s="24" t="s">
        <v>40</v>
      </c>
      <c r="F51" s="27">
        <v>1.25</v>
      </c>
      <c r="G51" s="25" t="s">
        <v>41</v>
      </c>
      <c r="H51" s="28">
        <v>4</v>
      </c>
      <c r="I51" s="29">
        <v>1800</v>
      </c>
    </row>
    <row r="52" spans="1:9" ht="18" customHeight="1">
      <c r="A52" s="16" t="s">
        <v>37</v>
      </c>
      <c r="B52" s="17">
        <v>4</v>
      </c>
      <c r="C52" s="18" t="s">
        <v>38</v>
      </c>
      <c r="D52" s="19" t="s">
        <v>39</v>
      </c>
      <c r="E52" s="17" t="s">
        <v>40</v>
      </c>
      <c r="F52" s="20">
        <v>0.7</v>
      </c>
      <c r="G52" s="18" t="s">
        <v>41</v>
      </c>
      <c r="H52" s="21">
        <v>6.5</v>
      </c>
      <c r="I52" s="22">
        <v>2925</v>
      </c>
    </row>
    <row r="53" spans="1:9" ht="18" customHeight="1">
      <c r="A53" s="23" t="s">
        <v>42</v>
      </c>
      <c r="B53" s="24">
        <v>4</v>
      </c>
      <c r="C53" s="25" t="s">
        <v>43</v>
      </c>
      <c r="D53" s="26" t="s">
        <v>44</v>
      </c>
      <c r="E53" s="24" t="s">
        <v>40</v>
      </c>
      <c r="F53" s="27">
        <v>1.25</v>
      </c>
      <c r="G53" s="25" t="s">
        <v>41</v>
      </c>
      <c r="H53" s="28">
        <v>4</v>
      </c>
      <c r="I53" s="29">
        <v>1800</v>
      </c>
    </row>
    <row r="54" spans="1:9" ht="18" customHeight="1">
      <c r="A54" s="16" t="s">
        <v>37</v>
      </c>
      <c r="B54" s="17">
        <v>4</v>
      </c>
      <c r="C54" s="18" t="s">
        <v>38</v>
      </c>
      <c r="D54" s="19" t="s">
        <v>39</v>
      </c>
      <c r="E54" s="17" t="s">
        <v>40</v>
      </c>
      <c r="F54" s="20">
        <v>0.7</v>
      </c>
      <c r="G54" s="18" t="s">
        <v>41</v>
      </c>
      <c r="H54" s="21">
        <v>6.5</v>
      </c>
      <c r="I54" s="22">
        <v>2925</v>
      </c>
    </row>
    <row r="55" spans="1:9" ht="18" customHeight="1">
      <c r="A55" s="23" t="s">
        <v>42</v>
      </c>
      <c r="B55" s="24">
        <v>4</v>
      </c>
      <c r="C55" s="25" t="s">
        <v>43</v>
      </c>
      <c r="D55" s="26" t="s">
        <v>44</v>
      </c>
      <c r="E55" s="24" t="s">
        <v>40</v>
      </c>
      <c r="F55" s="27">
        <v>1.25</v>
      </c>
      <c r="G55" s="25" t="s">
        <v>41</v>
      </c>
      <c r="H55" s="28">
        <v>4</v>
      </c>
      <c r="I55" s="29">
        <v>1800</v>
      </c>
    </row>
    <row r="56" spans="1:9" ht="18" customHeight="1">
      <c r="A56" s="16" t="s">
        <v>37</v>
      </c>
      <c r="B56" s="17">
        <v>4</v>
      </c>
      <c r="C56" s="18" t="s">
        <v>38</v>
      </c>
      <c r="D56" s="19" t="s">
        <v>39</v>
      </c>
      <c r="E56" s="17" t="s">
        <v>40</v>
      </c>
      <c r="F56" s="20">
        <v>0.7</v>
      </c>
      <c r="G56" s="18" t="s">
        <v>41</v>
      </c>
      <c r="H56" s="21">
        <v>6.5</v>
      </c>
      <c r="I56" s="22">
        <v>2925</v>
      </c>
    </row>
    <row r="57" spans="1:9" ht="18" customHeight="1">
      <c r="A57" s="23" t="s">
        <v>42</v>
      </c>
      <c r="B57" s="24">
        <v>4</v>
      </c>
      <c r="C57" s="25" t="s">
        <v>43</v>
      </c>
      <c r="D57" s="26" t="s">
        <v>44</v>
      </c>
      <c r="E57" s="24" t="s">
        <v>40</v>
      </c>
      <c r="F57" s="27">
        <v>1.25</v>
      </c>
      <c r="G57" s="25" t="s">
        <v>41</v>
      </c>
      <c r="H57" s="28">
        <v>4</v>
      </c>
      <c r="I57" s="29">
        <v>1800</v>
      </c>
    </row>
    <row r="58" spans="1:9" ht="18" customHeight="1">
      <c r="A58" s="16" t="s">
        <v>37</v>
      </c>
      <c r="B58" s="17">
        <v>4</v>
      </c>
      <c r="C58" s="18" t="s">
        <v>38</v>
      </c>
      <c r="D58" s="19" t="s">
        <v>39</v>
      </c>
      <c r="E58" s="17" t="s">
        <v>40</v>
      </c>
      <c r="F58" s="20">
        <v>0.7</v>
      </c>
      <c r="G58" s="18" t="s">
        <v>41</v>
      </c>
      <c r="H58" s="21">
        <v>6.5</v>
      </c>
      <c r="I58" s="22">
        <v>2925</v>
      </c>
    </row>
    <row r="59" spans="1:9" ht="18" customHeight="1">
      <c r="A59" s="23" t="s">
        <v>42</v>
      </c>
      <c r="B59" s="24">
        <v>4</v>
      </c>
      <c r="C59" s="25" t="s">
        <v>43</v>
      </c>
      <c r="D59" s="26" t="s">
        <v>44</v>
      </c>
      <c r="E59" s="24" t="s">
        <v>40</v>
      </c>
      <c r="F59" s="27">
        <v>1.25</v>
      </c>
      <c r="G59" s="25" t="s">
        <v>41</v>
      </c>
      <c r="H59" s="28">
        <v>4</v>
      </c>
      <c r="I59" s="29">
        <v>1800</v>
      </c>
    </row>
    <row r="60" spans="1:9" ht="18" customHeight="1">
      <c r="A60" s="16" t="s">
        <v>37</v>
      </c>
      <c r="B60" s="17">
        <v>4</v>
      </c>
      <c r="C60" s="18" t="s">
        <v>38</v>
      </c>
      <c r="D60" s="19" t="s">
        <v>39</v>
      </c>
      <c r="E60" s="17" t="s">
        <v>40</v>
      </c>
      <c r="F60" s="20">
        <v>0.7</v>
      </c>
      <c r="G60" s="18" t="s">
        <v>41</v>
      </c>
      <c r="H60" s="21">
        <v>6.5</v>
      </c>
      <c r="I60" s="22">
        <v>2925</v>
      </c>
    </row>
    <row r="61" spans="1:9" ht="18" customHeight="1">
      <c r="A61" s="23" t="s">
        <v>42</v>
      </c>
      <c r="B61" s="24">
        <v>4</v>
      </c>
      <c r="C61" s="25" t="s">
        <v>43</v>
      </c>
      <c r="D61" s="26" t="s">
        <v>44</v>
      </c>
      <c r="E61" s="24" t="s">
        <v>40</v>
      </c>
      <c r="F61" s="27">
        <v>1.25</v>
      </c>
      <c r="G61" s="25" t="s">
        <v>41</v>
      </c>
      <c r="H61" s="28">
        <v>4</v>
      </c>
      <c r="I61" s="29">
        <v>1800</v>
      </c>
    </row>
    <row r="62" spans="1:9" ht="18" customHeight="1">
      <c r="A62" s="16" t="s">
        <v>37</v>
      </c>
      <c r="B62" s="17">
        <v>4</v>
      </c>
      <c r="C62" s="18" t="s">
        <v>38</v>
      </c>
      <c r="D62" s="19" t="s">
        <v>39</v>
      </c>
      <c r="E62" s="17" t="s">
        <v>40</v>
      </c>
      <c r="F62" s="20">
        <v>0.7</v>
      </c>
      <c r="G62" s="18" t="s">
        <v>41</v>
      </c>
      <c r="H62" s="21">
        <v>6.5</v>
      </c>
      <c r="I62" s="22">
        <v>2925</v>
      </c>
    </row>
    <row r="63" spans="1:9" ht="18" customHeight="1">
      <c r="A63" s="23" t="s">
        <v>42</v>
      </c>
      <c r="B63" s="24">
        <v>4</v>
      </c>
      <c r="C63" s="25" t="s">
        <v>43</v>
      </c>
      <c r="D63" s="26" t="s">
        <v>44</v>
      </c>
      <c r="E63" s="24" t="s">
        <v>40</v>
      </c>
      <c r="F63" s="27">
        <v>1.25</v>
      </c>
      <c r="G63" s="25" t="s">
        <v>41</v>
      </c>
      <c r="H63" s="28">
        <v>4</v>
      </c>
      <c r="I63" s="29">
        <v>1800</v>
      </c>
    </row>
    <row r="64" spans="1:9" ht="18" customHeight="1">
      <c r="A64" s="16" t="s">
        <v>37</v>
      </c>
      <c r="B64" s="17">
        <v>4</v>
      </c>
      <c r="C64" s="18" t="s">
        <v>38</v>
      </c>
      <c r="D64" s="19" t="s">
        <v>39</v>
      </c>
      <c r="E64" s="17" t="s">
        <v>40</v>
      </c>
      <c r="F64" s="20">
        <v>0.7</v>
      </c>
      <c r="G64" s="18" t="s">
        <v>41</v>
      </c>
      <c r="H64" s="21">
        <v>6.5</v>
      </c>
      <c r="I64" s="22">
        <v>2925</v>
      </c>
    </row>
    <row r="65" spans="1:9" ht="18" customHeight="1">
      <c r="A65" s="23" t="s">
        <v>42</v>
      </c>
      <c r="B65" s="24">
        <v>4</v>
      </c>
      <c r="C65" s="25" t="s">
        <v>43</v>
      </c>
      <c r="D65" s="26" t="s">
        <v>44</v>
      </c>
      <c r="E65" s="24" t="s">
        <v>40</v>
      </c>
      <c r="F65" s="27">
        <v>1.25</v>
      </c>
      <c r="G65" s="25" t="s">
        <v>41</v>
      </c>
      <c r="H65" s="28">
        <v>4</v>
      </c>
      <c r="I65" s="29">
        <v>1800</v>
      </c>
    </row>
    <row r="66" spans="1:9" ht="18" customHeight="1">
      <c r="A66" s="16" t="s">
        <v>37</v>
      </c>
      <c r="B66" s="17">
        <v>4</v>
      </c>
      <c r="C66" s="18" t="s">
        <v>38</v>
      </c>
      <c r="D66" s="19" t="s">
        <v>39</v>
      </c>
      <c r="E66" s="17" t="s">
        <v>40</v>
      </c>
      <c r="F66" s="20">
        <v>0.7</v>
      </c>
      <c r="G66" s="18" t="s">
        <v>41</v>
      </c>
      <c r="H66" s="21">
        <v>6.5</v>
      </c>
      <c r="I66" s="22">
        <v>2925</v>
      </c>
    </row>
    <row r="67" spans="1:9" ht="18" customHeight="1">
      <c r="A67" s="23" t="s">
        <v>42</v>
      </c>
      <c r="B67" s="24">
        <v>4</v>
      </c>
      <c r="C67" s="25" t="s">
        <v>43</v>
      </c>
      <c r="D67" s="26" t="s">
        <v>44</v>
      </c>
      <c r="E67" s="24" t="s">
        <v>40</v>
      </c>
      <c r="F67" s="27">
        <v>1.25</v>
      </c>
      <c r="G67" s="25" t="s">
        <v>41</v>
      </c>
      <c r="H67" s="28">
        <v>4</v>
      </c>
      <c r="I67" s="29">
        <v>1800</v>
      </c>
    </row>
    <row r="68" spans="1:9" ht="18" customHeight="1">
      <c r="A68" s="16" t="s">
        <v>37</v>
      </c>
      <c r="B68" s="17">
        <v>4</v>
      </c>
      <c r="C68" s="18" t="s">
        <v>38</v>
      </c>
      <c r="D68" s="19" t="s">
        <v>39</v>
      </c>
      <c r="E68" s="17" t="s">
        <v>40</v>
      </c>
      <c r="F68" s="20">
        <v>0.7</v>
      </c>
      <c r="G68" s="18" t="s">
        <v>41</v>
      </c>
      <c r="H68" s="21">
        <v>6.5</v>
      </c>
      <c r="I68" s="22">
        <v>2925</v>
      </c>
    </row>
    <row r="69" spans="1:9" ht="18" customHeight="1">
      <c r="A69" s="23" t="s">
        <v>42</v>
      </c>
      <c r="B69" s="24">
        <v>4</v>
      </c>
      <c r="C69" s="25" t="s">
        <v>43</v>
      </c>
      <c r="D69" s="26" t="s">
        <v>44</v>
      </c>
      <c r="E69" s="24" t="s">
        <v>40</v>
      </c>
      <c r="F69" s="27">
        <v>1.25</v>
      </c>
      <c r="G69" s="25" t="s">
        <v>41</v>
      </c>
      <c r="H69" s="28">
        <v>4</v>
      </c>
      <c r="I69" s="29">
        <v>1800</v>
      </c>
    </row>
    <row r="70" spans="1:9" ht="18" customHeight="1">
      <c r="A70" s="16" t="s">
        <v>37</v>
      </c>
      <c r="B70" s="17">
        <v>4</v>
      </c>
      <c r="C70" s="18" t="s">
        <v>38</v>
      </c>
      <c r="D70" s="19" t="s">
        <v>39</v>
      </c>
      <c r="E70" s="17" t="s">
        <v>40</v>
      </c>
      <c r="F70" s="20">
        <v>0.7</v>
      </c>
      <c r="G70" s="18" t="s">
        <v>41</v>
      </c>
      <c r="H70" s="21">
        <v>6.5</v>
      </c>
      <c r="I70" s="22">
        <v>2925</v>
      </c>
    </row>
    <row r="71" spans="1:9" ht="18" customHeight="1">
      <c r="A71" s="23" t="s">
        <v>42</v>
      </c>
      <c r="B71" s="24">
        <v>4</v>
      </c>
      <c r="C71" s="25" t="s">
        <v>43</v>
      </c>
      <c r="D71" s="26" t="s">
        <v>44</v>
      </c>
      <c r="E71" s="24" t="s">
        <v>40</v>
      </c>
      <c r="F71" s="27">
        <v>1.25</v>
      </c>
      <c r="G71" s="25" t="s">
        <v>41</v>
      </c>
      <c r="H71" s="28">
        <v>4</v>
      </c>
      <c r="I71" s="29">
        <v>1800</v>
      </c>
    </row>
    <row r="72" spans="1:9" ht="18" customHeight="1">
      <c r="A72" s="16" t="s">
        <v>37</v>
      </c>
      <c r="B72" s="17">
        <v>4</v>
      </c>
      <c r="C72" s="18" t="s">
        <v>38</v>
      </c>
      <c r="D72" s="19" t="s">
        <v>39</v>
      </c>
      <c r="E72" s="17" t="s">
        <v>40</v>
      </c>
      <c r="F72" s="20">
        <v>0.7</v>
      </c>
      <c r="G72" s="18" t="s">
        <v>41</v>
      </c>
      <c r="H72" s="21">
        <v>6.5</v>
      </c>
      <c r="I72" s="22">
        <v>2925</v>
      </c>
    </row>
    <row r="73" spans="1:9" ht="18" customHeight="1">
      <c r="A73" s="23" t="s">
        <v>42</v>
      </c>
      <c r="B73" s="24">
        <v>4</v>
      </c>
      <c r="C73" s="25" t="s">
        <v>43</v>
      </c>
      <c r="D73" s="26" t="s">
        <v>44</v>
      </c>
      <c r="E73" s="24" t="s">
        <v>40</v>
      </c>
      <c r="F73" s="27">
        <v>1.25</v>
      </c>
      <c r="G73" s="25" t="s">
        <v>41</v>
      </c>
      <c r="H73" s="28">
        <v>4</v>
      </c>
      <c r="I73" s="29">
        <v>1800</v>
      </c>
    </row>
    <row r="74" spans="1:9" ht="18" customHeight="1">
      <c r="A74" s="16" t="s">
        <v>37</v>
      </c>
      <c r="B74" s="17">
        <v>4</v>
      </c>
      <c r="C74" s="18" t="s">
        <v>38</v>
      </c>
      <c r="D74" s="19" t="s">
        <v>39</v>
      </c>
      <c r="E74" s="17" t="s">
        <v>40</v>
      </c>
      <c r="F74" s="20">
        <v>0.7</v>
      </c>
      <c r="G74" s="18" t="s">
        <v>41</v>
      </c>
      <c r="H74" s="21">
        <v>6.5</v>
      </c>
      <c r="I74" s="22">
        <v>2925</v>
      </c>
    </row>
    <row r="75" spans="1:9" ht="18" customHeight="1">
      <c r="A75" s="23" t="s">
        <v>42</v>
      </c>
      <c r="B75" s="24">
        <v>4</v>
      </c>
      <c r="C75" s="25" t="s">
        <v>43</v>
      </c>
      <c r="D75" s="26" t="s">
        <v>44</v>
      </c>
      <c r="E75" s="24" t="s">
        <v>40</v>
      </c>
      <c r="F75" s="27">
        <v>1.25</v>
      </c>
      <c r="G75" s="25" t="s">
        <v>41</v>
      </c>
      <c r="H75" s="28">
        <v>4</v>
      </c>
      <c r="I75" s="29">
        <v>1800</v>
      </c>
    </row>
    <row r="76" spans="1:9" ht="18" customHeight="1">
      <c r="A76" s="16" t="s">
        <v>37</v>
      </c>
      <c r="B76" s="17">
        <v>4</v>
      </c>
      <c r="C76" s="18" t="s">
        <v>38</v>
      </c>
      <c r="D76" s="19" t="s">
        <v>39</v>
      </c>
      <c r="E76" s="17" t="s">
        <v>40</v>
      </c>
      <c r="F76" s="20">
        <v>0.7</v>
      </c>
      <c r="G76" s="18" t="s">
        <v>41</v>
      </c>
      <c r="H76" s="21">
        <v>6.5</v>
      </c>
      <c r="I76" s="22">
        <v>2925</v>
      </c>
    </row>
    <row r="77" spans="1:9" ht="18" customHeight="1">
      <c r="A77" s="23" t="s">
        <v>42</v>
      </c>
      <c r="B77" s="24">
        <v>4</v>
      </c>
      <c r="C77" s="25" t="s">
        <v>43</v>
      </c>
      <c r="D77" s="26" t="s">
        <v>44</v>
      </c>
      <c r="E77" s="24" t="s">
        <v>40</v>
      </c>
      <c r="F77" s="27">
        <v>1.25</v>
      </c>
      <c r="G77" s="25" t="s">
        <v>41</v>
      </c>
      <c r="H77" s="28">
        <v>4</v>
      </c>
      <c r="I77" s="29">
        <v>1800</v>
      </c>
    </row>
    <row r="78" spans="1:9" ht="18" customHeight="1">
      <c r="A78" s="16" t="s">
        <v>37</v>
      </c>
      <c r="B78" s="17">
        <v>4</v>
      </c>
      <c r="C78" s="18" t="s">
        <v>38</v>
      </c>
      <c r="D78" s="19" t="s">
        <v>39</v>
      </c>
      <c r="E78" s="17" t="s">
        <v>40</v>
      </c>
      <c r="F78" s="20">
        <v>0.7</v>
      </c>
      <c r="G78" s="18" t="s">
        <v>41</v>
      </c>
      <c r="H78" s="21">
        <v>6.5</v>
      </c>
      <c r="I78" s="22">
        <v>2925</v>
      </c>
    </row>
    <row r="79" spans="1:9" ht="18" customHeight="1">
      <c r="A79" s="23" t="s">
        <v>42</v>
      </c>
      <c r="B79" s="24">
        <v>4</v>
      </c>
      <c r="C79" s="25" t="s">
        <v>43</v>
      </c>
      <c r="D79" s="26" t="s">
        <v>44</v>
      </c>
      <c r="E79" s="24" t="s">
        <v>40</v>
      </c>
      <c r="F79" s="27">
        <v>1.25</v>
      </c>
      <c r="G79" s="25" t="s">
        <v>41</v>
      </c>
      <c r="H79" s="28">
        <v>4</v>
      </c>
      <c r="I79" s="29">
        <v>1800</v>
      </c>
    </row>
    <row r="80" spans="1:9" ht="18" customHeight="1">
      <c r="A80" s="16" t="s">
        <v>37</v>
      </c>
      <c r="B80" s="17">
        <v>4</v>
      </c>
      <c r="C80" s="18" t="s">
        <v>38</v>
      </c>
      <c r="D80" s="19" t="s">
        <v>39</v>
      </c>
      <c r="E80" s="17" t="s">
        <v>40</v>
      </c>
      <c r="F80" s="20">
        <v>0.7</v>
      </c>
      <c r="G80" s="18" t="s">
        <v>41</v>
      </c>
      <c r="H80" s="21">
        <v>6.5</v>
      </c>
      <c r="I80" s="22">
        <v>2925</v>
      </c>
    </row>
    <row r="81" spans="1:9" ht="18" customHeight="1">
      <c r="A81" s="23" t="s">
        <v>42</v>
      </c>
      <c r="B81" s="24">
        <v>4</v>
      </c>
      <c r="C81" s="25" t="s">
        <v>43</v>
      </c>
      <c r="D81" s="26" t="s">
        <v>44</v>
      </c>
      <c r="E81" s="24" t="s">
        <v>40</v>
      </c>
      <c r="F81" s="27">
        <v>1.25</v>
      </c>
      <c r="G81" s="25" t="s">
        <v>41</v>
      </c>
      <c r="H81" s="28">
        <v>4</v>
      </c>
      <c r="I81" s="29">
        <v>1800</v>
      </c>
    </row>
    <row r="82" spans="1:9" ht="18" customHeight="1">
      <c r="A82" s="16" t="s">
        <v>37</v>
      </c>
      <c r="B82" s="17">
        <v>4</v>
      </c>
      <c r="C82" s="18" t="s">
        <v>38</v>
      </c>
      <c r="D82" s="19" t="s">
        <v>39</v>
      </c>
      <c r="E82" s="17" t="s">
        <v>40</v>
      </c>
      <c r="F82" s="20">
        <v>0.7</v>
      </c>
      <c r="G82" s="18" t="s">
        <v>41</v>
      </c>
      <c r="H82" s="21">
        <v>6.5</v>
      </c>
      <c r="I82" s="22">
        <v>2925</v>
      </c>
    </row>
    <row r="83" spans="1:9" ht="18" customHeight="1">
      <c r="A83" s="23" t="s">
        <v>42</v>
      </c>
      <c r="B83" s="24">
        <v>4</v>
      </c>
      <c r="C83" s="25" t="s">
        <v>43</v>
      </c>
      <c r="D83" s="26" t="s">
        <v>44</v>
      </c>
      <c r="E83" s="24" t="s">
        <v>40</v>
      </c>
      <c r="F83" s="27">
        <v>1.25</v>
      </c>
      <c r="G83" s="25" t="s">
        <v>41</v>
      </c>
      <c r="H83" s="28">
        <v>4</v>
      </c>
      <c r="I83" s="29">
        <v>1800</v>
      </c>
    </row>
    <row r="84" spans="1:9" ht="18" customHeight="1">
      <c r="A84" s="16" t="s">
        <v>37</v>
      </c>
      <c r="B84" s="17">
        <v>4</v>
      </c>
      <c r="C84" s="18" t="s">
        <v>38</v>
      </c>
      <c r="D84" s="19" t="s">
        <v>39</v>
      </c>
      <c r="E84" s="17" t="s">
        <v>40</v>
      </c>
      <c r="F84" s="20">
        <v>0.7</v>
      </c>
      <c r="G84" s="18" t="s">
        <v>41</v>
      </c>
      <c r="H84" s="21">
        <v>6.5</v>
      </c>
      <c r="I84" s="22">
        <v>2925</v>
      </c>
    </row>
    <row r="85" spans="1:9" ht="18" customHeight="1">
      <c r="A85" s="23" t="s">
        <v>42</v>
      </c>
      <c r="B85" s="24">
        <v>4</v>
      </c>
      <c r="C85" s="25" t="s">
        <v>43</v>
      </c>
      <c r="D85" s="26" t="s">
        <v>44</v>
      </c>
      <c r="E85" s="24" t="s">
        <v>40</v>
      </c>
      <c r="F85" s="27">
        <v>1.25</v>
      </c>
      <c r="G85" s="25" t="s">
        <v>41</v>
      </c>
      <c r="H85" s="28">
        <v>4</v>
      </c>
      <c r="I85" s="29">
        <v>1800</v>
      </c>
    </row>
    <row r="86" spans="1:9" ht="18" customHeight="1">
      <c r="A86" s="16" t="s">
        <v>37</v>
      </c>
      <c r="B86" s="17">
        <v>4</v>
      </c>
      <c r="C86" s="18" t="s">
        <v>38</v>
      </c>
      <c r="D86" s="19" t="s">
        <v>39</v>
      </c>
      <c r="E86" s="17" t="s">
        <v>40</v>
      </c>
      <c r="F86" s="20">
        <v>0.7</v>
      </c>
      <c r="G86" s="18" t="s">
        <v>41</v>
      </c>
      <c r="H86" s="21">
        <v>6.5</v>
      </c>
      <c r="I86" s="22">
        <v>2925</v>
      </c>
    </row>
    <row r="87" spans="1:9" ht="18" customHeight="1">
      <c r="A87" s="23" t="s">
        <v>42</v>
      </c>
      <c r="B87" s="24">
        <v>4</v>
      </c>
      <c r="C87" s="25" t="s">
        <v>43</v>
      </c>
      <c r="D87" s="26" t="s">
        <v>44</v>
      </c>
      <c r="E87" s="24" t="s">
        <v>40</v>
      </c>
      <c r="F87" s="27">
        <v>1.25</v>
      </c>
      <c r="G87" s="25" t="s">
        <v>41</v>
      </c>
      <c r="H87" s="28">
        <v>4</v>
      </c>
      <c r="I87" s="29">
        <v>1800</v>
      </c>
    </row>
    <row r="88" spans="1:9" ht="18" customHeight="1">
      <c r="A88" s="16" t="s">
        <v>37</v>
      </c>
      <c r="B88" s="17">
        <v>4</v>
      </c>
      <c r="C88" s="18" t="s">
        <v>38</v>
      </c>
      <c r="D88" s="19" t="s">
        <v>39</v>
      </c>
      <c r="E88" s="17" t="s">
        <v>40</v>
      </c>
      <c r="F88" s="20">
        <v>0.7</v>
      </c>
      <c r="G88" s="18" t="s">
        <v>41</v>
      </c>
      <c r="H88" s="21">
        <v>6.5</v>
      </c>
      <c r="I88" s="22">
        <v>2925</v>
      </c>
    </row>
    <row r="89" spans="1:9" ht="18" customHeight="1">
      <c r="A89" s="23" t="s">
        <v>42</v>
      </c>
      <c r="B89" s="24">
        <v>4</v>
      </c>
      <c r="C89" s="25" t="s">
        <v>43</v>
      </c>
      <c r="D89" s="26" t="s">
        <v>44</v>
      </c>
      <c r="E89" s="24" t="s">
        <v>40</v>
      </c>
      <c r="F89" s="27">
        <v>1.25</v>
      </c>
      <c r="G89" s="25" t="s">
        <v>41</v>
      </c>
      <c r="H89" s="28">
        <v>4</v>
      </c>
      <c r="I89" s="29">
        <v>1800</v>
      </c>
    </row>
    <row r="90" spans="1:9" ht="18" customHeight="1">
      <c r="A90" s="16" t="s">
        <v>37</v>
      </c>
      <c r="B90" s="17">
        <v>4</v>
      </c>
      <c r="C90" s="18" t="s">
        <v>38</v>
      </c>
      <c r="D90" s="19" t="s">
        <v>39</v>
      </c>
      <c r="E90" s="17" t="s">
        <v>40</v>
      </c>
      <c r="F90" s="20">
        <v>0.7</v>
      </c>
      <c r="G90" s="18" t="s">
        <v>41</v>
      </c>
      <c r="H90" s="21">
        <v>6.5</v>
      </c>
      <c r="I90" s="22">
        <v>2925</v>
      </c>
    </row>
    <row r="91" spans="1:9" ht="18" customHeight="1">
      <c r="A91" s="23" t="s">
        <v>42</v>
      </c>
      <c r="B91" s="24">
        <v>4</v>
      </c>
      <c r="C91" s="25" t="s">
        <v>43</v>
      </c>
      <c r="D91" s="26" t="s">
        <v>44</v>
      </c>
      <c r="E91" s="24" t="s">
        <v>40</v>
      </c>
      <c r="F91" s="27">
        <v>1.25</v>
      </c>
      <c r="G91" s="25" t="s">
        <v>41</v>
      </c>
      <c r="H91" s="28">
        <v>4</v>
      </c>
      <c r="I91" s="29">
        <v>1800</v>
      </c>
    </row>
    <row r="92" spans="1:9" ht="18" customHeight="1">
      <c r="A92" s="16" t="s">
        <v>37</v>
      </c>
      <c r="B92" s="17">
        <v>4</v>
      </c>
      <c r="C92" s="18" t="s">
        <v>38</v>
      </c>
      <c r="D92" s="19" t="s">
        <v>39</v>
      </c>
      <c r="E92" s="17" t="s">
        <v>40</v>
      </c>
      <c r="F92" s="20">
        <v>0.7</v>
      </c>
      <c r="G92" s="18" t="s">
        <v>41</v>
      </c>
      <c r="H92" s="21">
        <v>6.5</v>
      </c>
      <c r="I92" s="22">
        <v>2925</v>
      </c>
    </row>
    <row r="93" spans="1:9" ht="18" customHeight="1">
      <c r="A93" s="23" t="s">
        <v>42</v>
      </c>
      <c r="B93" s="24">
        <v>4</v>
      </c>
      <c r="C93" s="25" t="s">
        <v>43</v>
      </c>
      <c r="D93" s="26" t="s">
        <v>44</v>
      </c>
      <c r="E93" s="24" t="s">
        <v>40</v>
      </c>
      <c r="F93" s="27">
        <v>1.25</v>
      </c>
      <c r="G93" s="25" t="s">
        <v>41</v>
      </c>
      <c r="H93" s="28">
        <v>4</v>
      </c>
      <c r="I93" s="29">
        <v>1800</v>
      </c>
    </row>
    <row r="94" spans="1:9" ht="18" customHeight="1">
      <c r="A94" s="16" t="s">
        <v>37</v>
      </c>
      <c r="B94" s="17">
        <v>4</v>
      </c>
      <c r="C94" s="18" t="s">
        <v>38</v>
      </c>
      <c r="D94" s="19" t="s">
        <v>39</v>
      </c>
      <c r="E94" s="17" t="s">
        <v>40</v>
      </c>
      <c r="F94" s="20">
        <v>0.7</v>
      </c>
      <c r="G94" s="18" t="s">
        <v>41</v>
      </c>
      <c r="H94" s="21">
        <v>6.5</v>
      </c>
      <c r="I94" s="22">
        <v>2925</v>
      </c>
    </row>
    <row r="95" spans="1:9" ht="18" customHeight="1">
      <c r="A95" s="23" t="s">
        <v>42</v>
      </c>
      <c r="B95" s="24">
        <v>4</v>
      </c>
      <c r="C95" s="25" t="s">
        <v>43</v>
      </c>
      <c r="D95" s="26" t="s">
        <v>44</v>
      </c>
      <c r="E95" s="24" t="s">
        <v>40</v>
      </c>
      <c r="F95" s="27">
        <v>1.25</v>
      </c>
      <c r="G95" s="25" t="s">
        <v>41</v>
      </c>
      <c r="H95" s="28">
        <v>4</v>
      </c>
      <c r="I95" s="29">
        <v>1800</v>
      </c>
    </row>
    <row r="96" spans="1:9" ht="18" customHeight="1">
      <c r="A96" s="16" t="s">
        <v>37</v>
      </c>
      <c r="B96" s="17">
        <v>4</v>
      </c>
      <c r="C96" s="18" t="s">
        <v>38</v>
      </c>
      <c r="D96" s="19" t="s">
        <v>39</v>
      </c>
      <c r="E96" s="17" t="s">
        <v>40</v>
      </c>
      <c r="F96" s="20">
        <v>0.7</v>
      </c>
      <c r="G96" s="18" t="s">
        <v>41</v>
      </c>
      <c r="H96" s="21">
        <v>6.5</v>
      </c>
      <c r="I96" s="22">
        <v>2925</v>
      </c>
    </row>
    <row r="97" spans="1:9" ht="18" customHeight="1">
      <c r="A97" s="23" t="s">
        <v>42</v>
      </c>
      <c r="B97" s="24">
        <v>4</v>
      </c>
      <c r="C97" s="25" t="s">
        <v>43</v>
      </c>
      <c r="D97" s="26" t="s">
        <v>44</v>
      </c>
      <c r="E97" s="24" t="s">
        <v>40</v>
      </c>
      <c r="F97" s="27">
        <v>1.25</v>
      </c>
      <c r="G97" s="25" t="s">
        <v>41</v>
      </c>
      <c r="H97" s="28">
        <v>4</v>
      </c>
      <c r="I97" s="29">
        <v>1800</v>
      </c>
    </row>
  </sheetData>
  <autoFilter ref="A4:I16" xr:uid="{00000000-0009-0000-0000-000001000000}"/>
  <mergeCells count="2">
    <mergeCell ref="A1:I1"/>
    <mergeCell ref="A2:I2"/>
  </mergeCells>
  <conditionalFormatting sqref="E5:E16">
    <cfRule type="cellIs" dxfId="1" priority="2" operator="equal">
      <formula>"Blocked"</formula>
    </cfRule>
    <cfRule type="cellIs" dxfId="0" priority="3" operator="equal">
      <formula>"Locked"</formula>
    </cfRule>
  </conditionalFormatting>
  <conditionalFormatting sqref="F5:F16">
    <cfRule type="colorScale" priority="4">
      <colorScale>
        <cfvo type="min"/>
        <cfvo type="max"/>
        <color rgb="FFFFFFFF"/>
        <color rgb="FFF3D9A8"/>
      </colorScale>
    </cfRule>
  </conditionalFormatting>
  <conditionalFormatting sqref="H5:H16">
    <cfRule type="dataBar" priority="1">
      <dataBar>
        <cfvo type="num" val="0"/>
        <cfvo type="num" val="20"/>
        <color rgb="FF2E7D74"/>
      </dataBar>
      <extLst>
        <ext xmlns:x14="http://schemas.microsoft.com/office/spreadsheetml/2009/9/main" uri="{B025F937-C7B1-47D3-B67F-A62EFF666E3E}">
          <x14:id>{29B284D1-F3A1-4A16-BC7F-68D672A774F4}</x14:id>
        </ext>
      </extLst>
    </cfRule>
  </conditionalFormatting>
  <dataValidations count="1">
    <dataValidation type="list" promptTitle="Status" prompt="Pick one / اختر حالة واحدة" sqref="E5:E16" xr:uid="{C00C74C8-2700-4FC9-8A93-85A5E4500E4F}">
      <formula1>"Not started,In progress,In review,Locked,Blocked"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headerFooter>
    <oddHeader>&amp;L&amp;"Aptos"&amp;10&amp;K000000 Public&amp;1#_x000D_</oddHeader>
  </headerFooter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B284D1-F3A1-4A16-BC7F-68D672A774F4}">
            <x14:dataBar axisPosition="none">
              <x14:cfvo type="num">
                <xm:f>0</xm:f>
              </x14:cfvo>
              <x14:cfvo type="num">
                <xm:f>20</xm:f>
              </x14:cfvo>
              <x14:negativeFillColor rgb="FF2E7D74"/>
            </x14:dataBar>
          </x14:cfRule>
          <xm:sqref>H5:H16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77BA-C4B1-4ECE-9982-602D075F2B64}">
  <sheetPr>
    <tabColor rgb="FF12171F"/>
    <pageSetUpPr fitToPage="1"/>
  </sheetPr>
  <dimension ref="A1:C26"/>
  <sheetViews>
    <sheetView tabSelected="1" zoomScaleNormal="100" workbookViewId="0">
      <selection sqref="A1:C1"/>
    </sheetView>
  </sheetViews>
  <sheetFormatPr defaultColWidth="8.7109375" defaultRowHeight="15"/>
  <cols>
    <col min="1" max="1" width="26" style="14" customWidth="1"/>
    <col min="2" max="2" width="18" style="14" customWidth="1"/>
    <col min="3" max="3" width="62" style="14" customWidth="1"/>
    <col min="4" max="16384" width="8.7109375" style="14"/>
  </cols>
  <sheetData>
    <row r="1" spans="1:3" ht="25.5" customHeight="1">
      <c r="A1" s="47" t="s">
        <v>82</v>
      </c>
      <c r="B1" s="47"/>
      <c r="C1" s="47"/>
    </row>
    <row r="2" spans="1:3" ht="19.5" customHeight="1">
      <c r="A2" s="48" t="s">
        <v>83</v>
      </c>
      <c r="B2" s="48"/>
      <c r="C2" s="48"/>
    </row>
    <row r="4" spans="1:3">
      <c r="A4" s="34" t="s">
        <v>84</v>
      </c>
    </row>
    <row r="6" spans="1:3">
      <c r="A6" s="14" t="s">
        <v>85</v>
      </c>
      <c r="B6" s="35">
        <v>450</v>
      </c>
      <c r="C6" s="36" t="s">
        <v>86</v>
      </c>
    </row>
    <row r="7" spans="1:3">
      <c r="A7" s="14" t="s">
        <v>87</v>
      </c>
      <c r="B7" s="37">
        <v>46157</v>
      </c>
      <c r="C7" s="14" t="s">
        <v>88</v>
      </c>
    </row>
    <row r="8" spans="1:3">
      <c r="A8" s="14" t="s">
        <v>89</v>
      </c>
      <c r="B8" s="38">
        <v>0.104166666666667</v>
      </c>
      <c r="C8" s="39" t="s">
        <v>90</v>
      </c>
    </row>
    <row r="10" spans="1:3">
      <c r="A10" s="34" t="s">
        <v>91</v>
      </c>
    </row>
    <row r="11" spans="1:3">
      <c r="A11" s="40" t="s">
        <v>92</v>
      </c>
      <c r="B11" s="41" t="s">
        <v>93</v>
      </c>
      <c r="C11" s="42" t="s">
        <v>94</v>
      </c>
    </row>
    <row r="12" spans="1:3">
      <c r="A12" s="40" t="s">
        <v>95</v>
      </c>
      <c r="B12" s="41" t="s">
        <v>96</v>
      </c>
      <c r="C12" s="42" t="s">
        <v>97</v>
      </c>
    </row>
    <row r="13" spans="1:3">
      <c r="A13" s="40" t="s">
        <v>98</v>
      </c>
      <c r="B13" s="41" t="s">
        <v>99</v>
      </c>
      <c r="C13" s="42" t="s">
        <v>100</v>
      </c>
    </row>
    <row r="14" spans="1:3">
      <c r="A14" s="40" t="s">
        <v>101</v>
      </c>
      <c r="B14" s="41" t="s">
        <v>102</v>
      </c>
      <c r="C14" s="42" t="s">
        <v>103</v>
      </c>
    </row>
    <row r="17" spans="1:3">
      <c r="A17" s="34" t="s">
        <v>104</v>
      </c>
    </row>
    <row r="18" spans="1:3" ht="45.75" customHeight="1">
      <c r="A18" s="14" t="s">
        <v>105</v>
      </c>
      <c r="B18" s="14" t="s">
        <v>60</v>
      </c>
      <c r="C18" s="43" t="s">
        <v>106</v>
      </c>
    </row>
    <row r="20" spans="1:3">
      <c r="A20" s="14" t="s">
        <v>107</v>
      </c>
      <c r="B20" s="44" t="s">
        <v>108</v>
      </c>
      <c r="C20" s="39" t="s">
        <v>109</v>
      </c>
    </row>
    <row r="23" spans="1:3">
      <c r="A23" s="45" t="s">
        <v>34</v>
      </c>
      <c r="B23" s="45" t="s">
        <v>110</v>
      </c>
    </row>
    <row r="24" spans="1:3">
      <c r="A24" s="42" t="s">
        <v>41</v>
      </c>
      <c r="B24" s="46">
        <v>23</v>
      </c>
    </row>
    <row r="25" spans="1:3">
      <c r="A25" s="42" t="s">
        <v>49</v>
      </c>
      <c r="B25" s="46">
        <v>21.5</v>
      </c>
    </row>
    <row r="26" spans="1:3">
      <c r="A26" s="42" t="s">
        <v>61</v>
      </c>
      <c r="B26" s="46">
        <v>29.5</v>
      </c>
    </row>
  </sheetData>
  <mergeCells count="2">
    <mergeCell ref="A1:C1"/>
    <mergeCell ref="A2:C2"/>
  </mergeCells>
  <hyperlinks>
    <hyperlink ref="B20" r:id="rId1" xr:uid="{F2D5095E-CC8C-42CF-B7AC-2742B7F9D1C6}"/>
  </hyperlinks>
  <pageMargins left="0.75" right="0.75" top="1" bottom="1" header="0.511811023622047" footer="0.511811023622047"/>
  <pageSetup fitToHeight="0" orientation="landscape" horizontalDpi="300" verticalDpi="300"/>
  <headerFooter>
    <oddHeader>&amp;L&amp;"Aptos"&amp;10&amp;K000000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الميزانية</vt:lpstr>
      <vt:lpstr>Summary</vt:lpstr>
      <vt:lpstr>Shot Log</vt:lpstr>
      <vt:lpstr>Notes</vt:lpstr>
      <vt:lpstr>EditorHours</vt:lpstr>
      <vt:lpstr>Editors</vt:lpstr>
      <vt:lpstr>'Shot Log'!Print_Titles</vt:lpstr>
      <vt:lpstr>Rate_per_hour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Abdalhameed Samy</dc:creator>
  <cp:lastModifiedBy>Abdalhameed Samy</cp:lastModifiedBy>
  <dcterms:created xsi:type="dcterms:W3CDTF">2026-09-14T12:16:31Z</dcterms:created>
  <dcterms:modified xsi:type="dcterms:W3CDTF">2026-09-14T12:17:39Z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c305d5-92c3-4e9c-a756-70361f1dd1b0_Enabled">
    <vt:lpwstr>true</vt:lpwstr>
  </property>
  <property fmtid="{D5CDD505-2E9C-101B-9397-08002B2CF9AE}" pid="3" name="MSIP_Label_00c305d5-92c3-4e9c-a756-70361f1dd1b0_SetDate">
    <vt:lpwstr>2026-09-14T12:16:31Z</vt:lpwstr>
  </property>
  <property fmtid="{D5CDD505-2E9C-101B-9397-08002B2CF9AE}" pid="4" name="MSIP_Label_00c305d5-92c3-4e9c-a756-70361f1dd1b0_Method">
    <vt:lpwstr>Standard</vt:lpwstr>
  </property>
  <property fmtid="{D5CDD505-2E9C-101B-9397-08002B2CF9AE}" pid="5" name="MSIP_Label_00c305d5-92c3-4e9c-a756-70361f1dd1b0_Name">
    <vt:lpwstr>public</vt:lpwstr>
  </property>
  <property fmtid="{D5CDD505-2E9C-101B-9397-08002B2CF9AE}" pid="6" name="MSIP_Label_00c305d5-92c3-4e9c-a756-70361f1dd1b0_SiteId">
    <vt:lpwstr>29d02b7a-fa50-40cc-8d1c-a452a519c6a5</vt:lpwstr>
  </property>
  <property fmtid="{D5CDD505-2E9C-101B-9397-08002B2CF9AE}" pid="7" name="MSIP_Label_00c305d5-92c3-4e9c-a756-70361f1dd1b0_ActionId">
    <vt:lpwstr>f09526fc-c20a-4776-a61e-f2f058ed9dae</vt:lpwstr>
  </property>
  <property fmtid="{D5CDD505-2E9C-101B-9397-08002B2CF9AE}" pid="8" name="MSIP_Label_00c305d5-92c3-4e9c-a756-70361f1dd1b0_ContentBits">
    <vt:lpwstr>1</vt:lpwstr>
  </property>
  <property fmtid="{D5CDD505-2E9C-101B-9397-08002B2CF9AE}" pid="9" name="MSIP_Label_00c305d5-92c3-4e9c-a756-70361f1dd1b0_Tag">
    <vt:lpwstr>10, 3, 0, 1</vt:lpwstr>
  </property>
</Properties>
</file>