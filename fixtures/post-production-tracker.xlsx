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hot Log" sheetId="2" state="visible" r:id="rId4"/>
    <sheet name="الميزانية" sheetId="3" state="visible" r:id="rId5"/>
    <sheet name="Notes" sheetId="4" state="visible" r:id="rId6"/>
  </sheets>
  <definedNames>
    <definedName function="false" hidden="false" localSheetId="1" name="_xlnm.Print_Titles" vbProcedure="false">'Shot Log'!$4:$4</definedName>
    <definedName function="false" hidden="true" localSheetId="1" name="_xlnm._FilterDatabase" vbProcedure="false">'Shot Log'!$A$4:$I$16</definedName>
    <definedName function="false" hidden="false" name="EditorHours" vbProcedure="false">Notes!$B$24:$B$26</definedName>
    <definedName function="false" hidden="false" name="Editors" vbProcedure="false">Notes!$A$24:$A$26</definedName>
    <definedName function="false" hidden="false" name="Rate_per_hour" vbProcedure="false">Notes!$B$6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4" authorId="0">
      <text>
        <r>
          <rPr>
            <sz val="10"/>
            <rFont val="Arial"/>
            <family val="2"/>
          </rPr>
          <t xml:space="preserve">Cost = hours logged x Rate_per_hour (named range on Notes!B6).
</t>
        </r>
        <r>
          <rPr>
            <sz val="10"/>
            <rFont val="FreeSans"/>
            <family val="2"/>
          </rPr>
          <t xml:space="preserve">التكلفة = الساعات المسجلة × سعر الساعة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<sst xmlns="http://schemas.openxmlformats.org/spreadsheetml/2006/main" count="148" uniqueCount="127">
  <si>
    <t xml:space="preserve">Post-Production Tracker</t>
  </si>
  <si>
    <t xml:space="preserve">متتبع أعمال ما بعد الإنتاج</t>
  </si>
  <si>
    <t xml:space="preserve">Season 2 · Episodes 04–06 · live figures pull from the Shot Log sheet</t>
  </si>
  <si>
    <t xml:space="preserve">Shots tracked · عدد اللقطات</t>
  </si>
  <si>
    <t xml:space="preserve">Hours logged · الساعات المسجلة</t>
  </si>
  <si>
    <t xml:space="preserve">Locked · لقطات مثبتة</t>
  </si>
  <si>
    <t xml:space="preserve">Blocked · لقطات متعثرة</t>
  </si>
  <si>
    <t xml:space="preserve">Progress by episode</t>
  </si>
  <si>
    <t xml:space="preserve">التقدم حسب الحلقة</t>
  </si>
  <si>
    <t xml:space="preserve">Episode</t>
  </si>
  <si>
    <t xml:space="preserve">Runtime (min)</t>
  </si>
  <si>
    <t xml:space="preserve">Hours logged</t>
  </si>
  <si>
    <t xml:space="preserve">% locked</t>
  </si>
  <si>
    <t xml:space="preserve">الحلقة</t>
  </si>
  <si>
    <t xml:space="preserve">Episode 4</t>
  </si>
  <si>
    <t xml:space="preserve">الحلقة الرابعة</t>
  </si>
  <si>
    <t xml:space="preserve">Episode 5</t>
  </si>
  <si>
    <t xml:space="preserve">الحلقة الخامسة</t>
  </si>
  <si>
    <t xml:space="preserve">Episode 6</t>
  </si>
  <si>
    <t xml:space="preserve">الحلقة السادسة</t>
  </si>
  <si>
    <t xml:space="preserve">Busiest editor / أكثر المونتيرين انشغالًا</t>
  </si>
  <si>
    <t xml:space="preserve">الشكل ١ — إجمالي ساعات المونتاج المسجلة لكل حلقة.</t>
  </si>
  <si>
    <t xml:space="preserve">Shot Log — Episodes 04–06</t>
  </si>
  <si>
    <t xml:space="preserve">سجل اللقطات — الحلقات 4 إلى 6</t>
  </si>
  <si>
    <t xml:space="preserve">Shot ID</t>
  </si>
  <si>
    <t xml:space="preserve">Ep.</t>
  </si>
  <si>
    <t xml:space="preserve">Scene</t>
  </si>
  <si>
    <t xml:space="preserve">المشهد</t>
  </si>
  <si>
    <t xml:space="preserve">Status
الحالة</t>
  </si>
  <si>
    <t xml:space="preserve">Runtime
(min)</t>
  </si>
  <si>
    <t xml:space="preserve">Editor</t>
  </si>
  <si>
    <t xml:space="preserve">Hours
logged</t>
  </si>
  <si>
    <t xml:space="preserve">Cost (EGP)</t>
  </si>
  <si>
    <t xml:space="preserve">S-041</t>
  </si>
  <si>
    <t xml:space="preserve">Dawn over the barrage</t>
  </si>
  <si>
    <t xml:space="preserve">الفجر فوق القناطر</t>
  </si>
  <si>
    <t xml:space="preserve">Locked</t>
  </si>
  <si>
    <t xml:space="preserve">Karim</t>
  </si>
  <si>
    <t xml:space="preserve">S-042</t>
  </si>
  <si>
    <t xml:space="preserve">Hands mending a net</t>
  </si>
  <si>
    <t xml:space="preserve">أيادٍ تصلح شبكة صيد</t>
  </si>
  <si>
    <t xml:space="preserve">S-043</t>
  </si>
  <si>
    <t xml:space="preserve">Interview — Umm Sayed</t>
  </si>
  <si>
    <t xml:space="preserve">مقابلة — أم سيد</t>
  </si>
  <si>
    <t xml:space="preserve">In review</t>
  </si>
  <si>
    <t xml:space="preserve">Nourhan</t>
  </si>
  <si>
    <t xml:space="preserve">S-044</t>
  </si>
  <si>
    <t xml:space="preserve">Archive: 1974 reel</t>
  </si>
  <si>
    <t xml:space="preserve">أرشيف: شريط ١٩٧٤</t>
  </si>
  <si>
    <t xml:space="preserve">Blocked</t>
  </si>
  <si>
    <t xml:space="preserve">S-045</t>
  </si>
  <si>
    <t xml:space="preserve">Ferry crossing at dusk</t>
  </si>
  <si>
    <t xml:space="preserve">معدية عند الغروب</t>
  </si>
  <si>
    <t xml:space="preserve">S-051</t>
  </si>
  <si>
    <t xml:space="preserve">Market at first light</t>
  </si>
  <si>
    <t xml:space="preserve">السوق مع أول الضوء</t>
  </si>
  <si>
    <t xml:space="preserve">In progress</t>
  </si>
  <si>
    <t xml:space="preserve">Mai</t>
  </si>
  <si>
    <t xml:space="preserve">S-052</t>
  </si>
  <si>
    <t xml:space="preserve">Boat workshop, interior</t>
  </si>
  <si>
    <t xml:space="preserve">ورشة المراكب، داخلي</t>
  </si>
  <si>
    <t xml:space="preserve">S-053</t>
  </si>
  <si>
    <t xml:space="preserve">Interview — Ustaz Adel</t>
  </si>
  <si>
    <t xml:space="preserve">مقابلة — أستاذ عادل</t>
  </si>
  <si>
    <t xml:space="preserve">Not started</t>
  </si>
  <si>
    <t xml:space="preserve">S-054</t>
  </si>
  <si>
    <t xml:space="preserve">Drone pass, delta fields</t>
  </si>
  <si>
    <t xml:space="preserve">لقطة درون فوق حقول الدلتا</t>
  </si>
  <si>
    <t xml:space="preserve">S-061</t>
  </si>
  <si>
    <t xml:space="preserve">Rosetta shoreline</t>
  </si>
  <si>
    <t xml:space="preserve">شاطئ رشيد</t>
  </si>
  <si>
    <t xml:space="preserve">S-062</t>
  </si>
  <si>
    <t xml:space="preserve">Night fishing, handheld</t>
  </si>
  <si>
    <t xml:space="preserve">صيد ليلي، كاميرا محمولة</t>
  </si>
  <si>
    <t xml:space="preserve">S-063</t>
  </si>
  <si>
    <t xml:space="preserve">Closing montage</t>
  </si>
  <si>
    <t xml:space="preserve">المونتاج الختامي</t>
  </si>
  <si>
    <t xml:space="preserve">Total / الإجمالي</t>
  </si>
  <si>
    <t xml:space="preserve">الميزانية التقديرية مقابل المصروف الفعلي</t>
  </si>
  <si>
    <t xml:space="preserve">Budget vs. actual — post-production</t>
  </si>
  <si>
    <t xml:space="preserve">البند</t>
  </si>
  <si>
    <t xml:space="preserve">الميزانية (ج.م)</t>
  </si>
  <si>
    <t xml:space="preserve">الفعلي (ج.م)</t>
  </si>
  <si>
    <t xml:space="preserve">الفرق %</t>
  </si>
  <si>
    <t xml:space="preserve">ملاحظة</t>
  </si>
  <si>
    <t xml:space="preserve">المونتاج</t>
  </si>
  <si>
    <t xml:space="preserve">ساعات المونتاج من سجل اللقطات</t>
  </si>
  <si>
    <t xml:space="preserve">تصحيح الألوان</t>
  </si>
  <si>
    <t xml:space="preserve">جلستان في الاستوديو</t>
  </si>
  <si>
    <t xml:space="preserve">مكساج الصوت</t>
  </si>
  <si>
    <t xml:space="preserve">٥.١ + استريو</t>
  </si>
  <si>
    <t xml:space="preserve">الترجمة والعناوين</t>
  </si>
  <si>
    <t xml:space="preserve">عربي وإنجليزي</t>
  </si>
  <si>
    <t xml:space="preserve">تصاريح الأرشيف</t>
  </si>
  <si>
    <t xml:space="preserve">زيادة بسبب شريط ١٩٧٤</t>
  </si>
  <si>
    <t xml:space="preserve">موسيقى أصلية</t>
  </si>
  <si>
    <t xml:space="preserve">عقد ثابت</t>
  </si>
  <si>
    <t xml:space="preserve">الإجمالي</t>
  </si>
  <si>
    <t xml:space="preserve">How to use this workbook</t>
  </si>
  <si>
    <t xml:space="preserve">طريقة استخدام هذا الملف</t>
  </si>
  <si>
    <t xml:space="preserve">Assumptions / الافتراضات</t>
  </si>
  <si>
    <t xml:space="preserve">Rate per hour (EGP)</t>
  </si>
  <si>
    <r>
      <rPr>
        <sz val="11"/>
        <color theme="1"/>
        <rFont val="FreeSans"/>
        <family val="2"/>
      </rPr>
      <t xml:space="preserve">سعر ساعة المونتاج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غيّر هذه الخلية فقط — باقي الجداول تتحدث تلقائيًا</t>
    </r>
    <r>
      <rPr>
        <sz val="11"/>
        <color theme="1"/>
        <rFont val="Calibri"/>
        <family val="2"/>
        <charset val="1"/>
      </rPr>
      <t xml:space="preserve">.</t>
    </r>
  </si>
  <si>
    <t xml:space="preserve">Week ending</t>
  </si>
  <si>
    <t xml:space="preserve">Reporting date for the dashboard figures.</t>
  </si>
  <si>
    <t xml:space="preserve">Session length</t>
  </si>
  <si>
    <r>
      <rPr>
        <sz val="11"/>
        <color theme="1"/>
        <rFont val="Calibri"/>
        <family val="2"/>
        <charset val="1"/>
      </rPr>
      <t xml:space="preserve">Standard grading session block / </t>
    </r>
    <r>
      <rPr>
        <sz val="11"/>
        <color theme="1"/>
        <rFont val="FreeSans"/>
        <family val="2"/>
      </rPr>
      <t xml:space="preserve">مدة جلسة التصحيح القياسية</t>
    </r>
    <r>
      <rPr>
        <sz val="11"/>
        <color theme="1"/>
        <rFont val="Calibri"/>
        <family val="2"/>
        <charset val="1"/>
      </rPr>
      <t xml:space="preserve">.</t>
    </r>
  </si>
  <si>
    <t xml:space="preserve">Colour legend / دليل الألوان</t>
  </si>
  <si>
    <t xml:space="preserve">Blue text</t>
  </si>
  <si>
    <t xml:space="preserve">نص أزرق</t>
  </si>
  <si>
    <t xml:space="preserve">Typed input — safe to edit.</t>
  </si>
  <si>
    <t xml:space="preserve">Black text</t>
  </si>
  <si>
    <t xml:space="preserve">نص أسود</t>
  </si>
  <si>
    <t xml:space="preserve">Formula — do not overwrite.</t>
  </si>
  <si>
    <t xml:space="preserve">Green text</t>
  </si>
  <si>
    <t xml:space="preserve">نص أخضر</t>
  </si>
  <si>
    <t xml:space="preserve">Pulled from another sheet.</t>
  </si>
  <si>
    <t xml:space="preserve">Yellow fill</t>
  </si>
  <si>
    <t xml:space="preserve">تظليل أصفر</t>
  </si>
  <si>
    <t xml:space="preserve">Key assumption you are expected to set.</t>
  </si>
  <si>
    <t xml:space="preserve">Example row / صف نموذجي</t>
  </si>
  <si>
    <t xml:space="preserve">S-071</t>
  </si>
  <si>
    <r>
      <rPr>
        <sz val="11"/>
        <color theme="1"/>
        <rFont val="Calibri"/>
        <family val="2"/>
        <charset val="1"/>
      </rPr>
      <t xml:space="preserve">Shot ID, then episode number, scene in English, </t>
    </r>
    <r>
      <rPr>
        <sz val="11"/>
        <color theme="1"/>
        <rFont val="FreeSans"/>
        <family val="2"/>
      </rPr>
      <t xml:space="preserve">المشهد بالعربية</t>
    </r>
    <r>
      <rPr>
        <sz val="11"/>
        <color theme="1"/>
        <rFont val="Calibri"/>
        <family val="2"/>
        <charset val="1"/>
      </rPr>
      <t xml:space="preserve">, status from the dropdown, runtime in minutes, editor name, hours logged.</t>
    </r>
  </si>
  <si>
    <t xml:space="preserve">Studio handbook</t>
  </si>
  <si>
    <t xml:space="preserve">example.com</t>
  </si>
  <si>
    <r>
      <rPr>
        <sz val="11"/>
        <color theme="1"/>
        <rFont val="Calibri"/>
        <family val="2"/>
        <charset val="1"/>
      </rPr>
      <t xml:space="preserve">Delivery specs, LUT pack, and the naming convention / </t>
    </r>
    <r>
      <rPr>
        <sz val="11"/>
        <color theme="1"/>
        <rFont val="FreeSans"/>
        <family val="2"/>
      </rPr>
      <t xml:space="preserve">مواصفات التسليم وحزمة الألوان</t>
    </r>
    <r>
      <rPr>
        <sz val="11"/>
        <color theme="1"/>
        <rFont val="Calibri"/>
        <family val="2"/>
        <charset val="1"/>
      </rPr>
      <t xml:space="preserve">.</t>
    </r>
  </si>
  <si>
    <t xml:space="preserve">Hours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</si>
</sst>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"/>
    <numFmt numFmtId="166" formatCode="0.0"/>
    <numFmt numFmtId="167" formatCode="0.00"/>
    <numFmt numFmtId="168" formatCode="0.0%"/>
    <numFmt numFmtId="169" formatCode="0.0&quot; h&quot;"/>
    <numFmt numFmtId="170" formatCode="#,##0&quot; EGP&quot;"/>
    <numFmt numFmtId="171" formatCode="#,##0;\(#,##0\);\-"/>
    <numFmt numFmtId="172" formatCode="0.0%;\(0.0%\);\-"/>
    <numFmt numFmtId="173" formatCode="#,##0"/>
    <numFmt numFmtId="174" formatCode="dd\ mmm\ yyyy"/>
    <numFmt numFmtId="175" formatCode="[h]:mm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2171F"/>
      <name val="Arial"/>
      <family val="0"/>
      <charset val="1"/>
    </font>
    <font>
      <sz val="12"/>
      <color rgb="FF2E7D74"/>
      <name val="Arial"/>
      <family val="0"/>
      <charset val="1"/>
    </font>
    <font>
      <i val="true"/>
      <sz val="9"/>
      <color rgb="FF5B6470"/>
      <name val="Arial"/>
      <family val="0"/>
      <charset val="1"/>
    </font>
    <font>
      <b val="true"/>
      <sz val="9"/>
      <color rgb="FF5B6470"/>
      <name val="Arial"/>
      <family val="0"/>
      <charset val="1"/>
    </font>
    <font>
      <b val="true"/>
      <sz val="20"/>
      <color rgb="FF12171F"/>
      <name val="Arial"/>
      <family val="0"/>
      <charset val="1"/>
    </font>
    <font>
      <b val="true"/>
      <sz val="20"/>
      <color rgb="FFB24830"/>
      <name val="Arial"/>
      <family val="0"/>
      <charset val="1"/>
    </font>
    <font>
      <b val="true"/>
      <sz val="11"/>
      <color rgb="FF12171F"/>
      <name val="Arial"/>
      <family val="0"/>
      <charset val="1"/>
    </font>
    <font>
      <sz val="10"/>
      <color rgb="FF2E7D7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1"/>
      <name val="FreeSans"/>
      <family val="2"/>
    </font>
    <font>
      <b val="true"/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5B647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B87F1E"/>
      <name val="Arial"/>
      <family val="0"/>
      <charset val="1"/>
    </font>
    <font>
      <sz val="10"/>
      <name val="Arial"/>
      <family val="2"/>
    </font>
    <font>
      <sz val="10"/>
      <name val="FreeSans"/>
      <family val="2"/>
    </font>
    <font>
      <sz val="10"/>
      <color rgb="FF0000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00FF"/>
      <name val="Arial"/>
      <family val="0"/>
      <charset val="1"/>
    </font>
    <font>
      <u val="single"/>
      <sz val="10"/>
      <color rgb="FF1155CC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4F1EC"/>
        <bgColor rgb="FFFBF9F5"/>
      </patternFill>
    </fill>
    <fill>
      <patternFill patternType="solid">
        <fgColor rgb="FF12171F"/>
        <bgColor rgb="FF000000"/>
      </patternFill>
    </fill>
    <fill>
      <patternFill patternType="solid">
        <fgColor rgb="FFFBF9F5"/>
        <bgColor rgb="FFFFFFFF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8D3C9"/>
      </left>
      <right style="thin">
        <color rgb="FFD8D3C9"/>
      </right>
      <top style="thin">
        <color rgb="FFD8D3C9"/>
      </top>
      <bottom style="thin">
        <color rgb="FFD8D3C9"/>
      </bottom>
      <diagonal/>
    </border>
    <border diagonalUp="false" diagonalDown="false">
      <left style="thin">
        <color rgb="FFD8D3C9"/>
      </left>
      <right style="thin">
        <color rgb="FFD8D3C9"/>
      </right>
      <top style="medium">
        <color rgb="FF12171F"/>
      </top>
      <bottom style="thin">
        <color rgb="FFD8D3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 readingOrder="2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right" vertical="bottom" textRotation="0" wrapText="false" indent="0" shrinkToFit="false" readingOrder="2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right" vertical="bottom" textRotation="0" wrapText="false" indent="0" shrinkToFit="false" readingOrder="2"/>
      <protection locked="true" hidden="false"/>
    </xf>
    <xf numFmtId="164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right" vertical="bottom" textRotation="0" wrapText="false" indent="0" shrinkToFit="false" readingOrder="2"/>
      <protection locked="true" hidden="false"/>
    </xf>
    <xf numFmtId="167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right" vertical="bottom" textRotation="0" wrapText="false" indent="0" shrinkToFit="false" readingOrder="2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right" vertical="bottom" textRotation="0" wrapText="true" indent="0" shrinkToFit="false" readingOrder="2"/>
      <protection locked="true" hidden="false"/>
    </xf>
    <xf numFmtId="171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right" vertical="bottom" textRotation="0" wrapText="false" indent="0" shrinkToFit="false" readingOrder="2"/>
      <protection locked="true" hidden="false"/>
    </xf>
    <xf numFmtId="171" fontId="1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 readingOrder="2"/>
      <protection locked="true" hidden="false"/>
    </xf>
    <xf numFmtId="17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 readingOrder="2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ill>
        <patternFill patternType="solid">
          <fgColor rgb="FF12171F"/>
          <bgColor rgb="FF000000"/>
        </patternFill>
      </fill>
    </dxf>
    <dxf>
      <fill>
        <patternFill patternType="solid">
          <fgColor rgb="FFFBF9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B87F1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E8"/>
          <bgColor rgb="FF000000"/>
        </patternFill>
      </fill>
    </dxf>
    <dxf>
      <fill>
        <patternFill patternType="solid">
          <fgColor rgb="FFF6D9D2"/>
          <bgColor rgb="FF000000"/>
        </patternFill>
      </fill>
    </dxf>
    <dxf>
      <fill>
        <patternFill patternType="solid">
          <fgColor rgb="FF2E7D74"/>
          <bgColor rgb="FF000000"/>
        </patternFill>
      </fill>
    </dxf>
    <dxf>
      <fill>
        <patternFill patternType="solid">
          <fgColor rgb="FFB24830"/>
          <bgColor rgb="FF000000"/>
        </patternFill>
      </fill>
    </dxf>
    <dxf>
      <fill>
        <patternFill patternType="solid">
          <fgColor rgb="FFF3D9A8"/>
          <bgColor rgb="FF000000"/>
        </patternFill>
      </fill>
    </dxf>
    <dxf>
      <fill>
        <patternFill patternType="solid">
          <fgColor rgb="FFF5DEB3"/>
          <bgColor rgb="FF000000"/>
        </patternFill>
      </fill>
    </dxf>
    <dxf>
      <fill>
        <patternFill patternType="solid">
          <fgColor rgb="FFF8E9CB"/>
          <bgColor rgb="FF000000"/>
        </patternFill>
      </fill>
    </dxf>
    <dxf>
      <fill>
        <patternFill patternType="solid">
          <fgColor rgb="FFFBF0DB"/>
          <bgColor rgb="FF000000"/>
        </patternFill>
      </fill>
    </dxf>
    <dxf>
      <fill>
        <patternFill patternType="solid">
          <fgColor rgb="FFFCF3E3"/>
          <bgColor rgb="FF000000"/>
        </patternFill>
      </fill>
    </dxf>
    <dxf>
      <fill>
        <patternFill patternType="solid">
          <fgColor rgb="FFFCF4E6"/>
          <bgColor rgb="FF000000"/>
        </patternFill>
      </fill>
    </dxf>
    <dxf>
      <fill>
        <patternFill patternType="solid">
          <fgColor rgb="FFFDF7ED"/>
          <bgColor rgb="FF000000"/>
        </patternFill>
      </fill>
    </dxf>
    <dxf>
      <fill>
        <patternFill patternType="solid">
          <fgColor rgb="FFFEFCF7"/>
          <bgColor rgb="FF000000"/>
        </patternFill>
      </fill>
    </dxf>
    <dxf>
      <fill>
        <patternFill patternType="solid">
          <fgColor rgb="FFFFFDF9"/>
          <bgColor rgb="FF000000"/>
        </patternFill>
      </fill>
    </dxf>
    <dxf>
      <fill>
        <patternFill patternType="solid">
          <fgColor rgb="FFFFFEFC"/>
          <bgColor rgb="FF000000"/>
        </patternFill>
      </fill>
    </dxf>
    <dxf>
      <fill>
        <patternFill patternType="solid">
          <fgColor rgb="FFFFFFFD"/>
          <bgColor rgb="FF000000"/>
        </patternFill>
      </fill>
    </dxf>
    <dxf>
      <font>
        <b val="1"/>
        <color rgb="FFB24830"/>
      </font>
      <fill>
        <patternFill>
          <bgColor rgb="FFF6D9D2"/>
        </patternFill>
      </fill>
    </dxf>
    <dxf>
      <font>
        <b val="1"/>
        <color rgb="FF2E7D74"/>
      </font>
      <fill>
        <patternFill>
          <bgColor rgb="FFDDEBE8"/>
        </patternFill>
      </fill>
    </dxf>
    <dxf>
      <font>
        <b val="1"/>
        <color rgb="FFB24830"/>
      </font>
    </dxf>
    <dxf>
      <font>
        <color rgb="FF2E7D74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7F1E"/>
      <rgbColor rgb="FF800080"/>
      <rgbColor rgb="FF008080"/>
      <rgbColor rgb="FFD8D3C9"/>
      <rgbColor rgb="FF878787"/>
      <rgbColor rgb="FF9999FF"/>
      <rgbColor rgb="FF993366"/>
      <rgbColor rgb="FFFBF9F5"/>
      <rgbColor rgb="FFDDEBE8"/>
      <rgbColor rgb="FF660066"/>
      <rgbColor rgb="FFFF8080"/>
      <rgbColor rgb="FF1155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1EC"/>
      <rgbColor rgb="FFCCFFCC"/>
      <rgbColor rgb="FFFFFF99"/>
      <rgbColor rgb="FF99CCFF"/>
      <rgbColor rgb="FFFF99CC"/>
      <rgbColor rgb="FFCC99FF"/>
      <rgbColor rgb="FFF6D9D2"/>
      <rgbColor rgb="FF3366FF"/>
      <rgbColor rgb="FF33CCCC"/>
      <rgbColor rgb="FF99CC00"/>
      <rgbColor rgb="FFFFCC00"/>
      <rgbColor rgb="FFFF9900"/>
      <rgbColor rgb="FFFF6600"/>
      <rgbColor rgb="FF5B6470"/>
      <rgbColor rgb="FF969696"/>
      <rgbColor rgb="FF003366"/>
      <rgbColor rgb="FF2E7D74"/>
      <rgbColor rgb="FF12171F"/>
      <rgbColor rgb="FF333300"/>
      <rgbColor rgb="FFB2483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Hours logged by episode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Dashboard!C11</c:f>
              <c:strCache>
                <c:ptCount val="1"/>
                <c:pt idx="0">
                  <c:v>Hours logged</c:v>
                </c:pt>
              </c:strCache>
            </c:strRef>
          </c:tx>
          <c:spPr>
            <a:solidFill>
              <a:srgbClr val="2e7d7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Dashboard!$A$12:$A$14</c:f>
              <c:strCache>
                <c:ptCount val="3"/>
                <c:pt idx="0">
                  <c:v>Episode 4</c:v>
                </c:pt>
                <c:pt idx="1">
                  <c:v>Episode 5</c:v>
                </c:pt>
                <c:pt idx="2">
                  <c:v>Episode 6</c:v>
                </c:pt>
              </c:strCache>
            </c:strRef>
          </c:cat>
          <c:val>
            <c:numRef>
              <c:f>Dashboard!$C$12:$C$14</c:f>
              <c:numCache>
                <c:formatCode>0.0</c:formatCode>
                <c:ptCount val="3"/>
                <c:pt idx="0">
                  <c:v>39</c:v>
                </c:pt>
                <c:pt idx="1">
                  <c:v>27</c:v>
                </c:pt>
                <c:pt idx="2">
                  <c:v>8</c:v>
                </c:pt>
              </c:numCache>
            </c:numRef>
          </c:val>
        </c:ser>
        <c:gapWidth val="150"/>
        <c:overlap val="0"/>
        <c:axId val="98003340"/>
        <c:axId val="37115053"/>
      </c:barChart>
      <c:catAx>
        <c:axId val="980033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115053"/>
        <c:crosses val="autoZero"/>
        <c:auto val="1"/>
        <c:lblAlgn val="ctr"/>
        <c:lblOffset val="100"/>
        <c:noMultiLvlLbl val="0"/>
      </c:catAx>
      <c:valAx>
        <c:axId val="371150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0033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0</xdr:rowOff>
    </xdr:from>
    <xdr:to>
      <xdr:col>4</xdr:col>
      <xdr:colOff>802800</xdr:colOff>
      <xdr:row>32</xdr:row>
      <xdr:rowOff>32760</xdr:rowOff>
    </xdr:to>
    <xdr:graphicFrame>
      <xdr:nvGraphicFramePr>
        <xdr:cNvPr id="0" name="Chart 1"/>
        <xdr:cNvGraphicFramePr/>
      </xdr:nvGraphicFramePr>
      <xdr:xfrm>
        <a:off x="0" y="410544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example.com/nileframe/handboo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7F1E"/>
    <pageSetUpPr fitToPage="true"/>
  </sheetPr>
  <dimension ref="A1:H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3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8" min="7" style="0" width="13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</row>
    <row r="5" customFormat="false" ht="18" hidden="false" customHeight="true" outlineLevel="0" collapsed="false">
      <c r="A5" s="4" t="s">
        <v>3</v>
      </c>
      <c r="B5" s="4"/>
      <c r="C5" s="4" t="s">
        <v>4</v>
      </c>
      <c r="D5" s="4"/>
      <c r="E5" s="4" t="s">
        <v>5</v>
      </c>
      <c r="F5" s="4"/>
      <c r="G5" s="4" t="s">
        <v>6</v>
      </c>
      <c r="H5" s="4"/>
    </row>
    <row r="6" customFormat="false" ht="39.75" hidden="false" customHeight="true" outlineLevel="0" collapsed="false">
      <c r="A6" s="5" t="n">
        <f aca="false">COUNTA('Shot Log'!A5:A16)</f>
        <v>12</v>
      </c>
      <c r="B6" s="5"/>
      <c r="C6" s="6" t="n">
        <f aca="false">SUM('Shot Log'!H5:H16)</f>
        <v>74</v>
      </c>
      <c r="D6" s="6"/>
      <c r="E6" s="5" t="n">
        <f aca="false">COUNTIF('Shot Log'!E5:E16,"Locked")</f>
        <v>2</v>
      </c>
      <c r="F6" s="5"/>
      <c r="G6" s="7" t="n">
        <f aca="false">COUNTIF('Shot Log'!E5:E16,"Blocked")</f>
        <v>1</v>
      </c>
      <c r="H6" s="7"/>
    </row>
    <row r="9" customFormat="false" ht="15" hidden="false" customHeight="false" outlineLevel="0" collapsed="false">
      <c r="A9" s="8" t="s">
        <v>7</v>
      </c>
    </row>
    <row r="10" customFormat="false" ht="15" hidden="false" customHeight="false" outlineLevel="0" collapsed="false">
      <c r="A10" s="9" t="s">
        <v>8</v>
      </c>
    </row>
    <row r="11" customFormat="false" ht="25.5" hidden="false" customHeight="true" outlineLevel="0" collapsed="false">
      <c r="A11" s="10" t="s">
        <v>9</v>
      </c>
      <c r="B11" s="10" t="s">
        <v>10</v>
      </c>
      <c r="C11" s="10" t="s">
        <v>11</v>
      </c>
      <c r="D11" s="10" t="s">
        <v>12</v>
      </c>
      <c r="E11" s="10" t="s">
        <v>13</v>
      </c>
    </row>
    <row r="12" customFormat="false" ht="15" hidden="false" customHeight="false" outlineLevel="0" collapsed="false">
      <c r="A12" s="11" t="s">
        <v>14</v>
      </c>
      <c r="B12" s="12" t="n">
        <f aca="false">SUMIFS('Shot Log'!$F$5:$F$16,'Shot Log'!$B$5:$B$16,4)</f>
        <v>10.5</v>
      </c>
      <c r="C12" s="13" t="n">
        <f aca="false">SUMIFS('Shot Log'!$H$5:$H$16,'Shot Log'!$B$5:$B$16,4)</f>
        <v>39</v>
      </c>
      <c r="D12" s="14" t="n">
        <f aca="false">IFERROR(COUNTIFS('Shot Log'!$B$5:$B$16,4,'Shot Log'!$E$5:$E$16,"Locked")/COUNTIFS('Shot Log'!$B$5:$B$16,4),0)</f>
        <v>0.4</v>
      </c>
      <c r="E12" s="15" t="s">
        <v>15</v>
      </c>
    </row>
    <row r="13" customFormat="false" ht="15" hidden="false" customHeight="false" outlineLevel="0" collapsed="false">
      <c r="A13" s="11" t="s">
        <v>16</v>
      </c>
      <c r="B13" s="12" t="n">
        <f aca="false">SUMIFS('Shot Log'!$F$5:$F$16,'Shot Log'!$B$5:$B$16,5)</f>
        <v>12.15</v>
      </c>
      <c r="C13" s="13" t="n">
        <f aca="false">SUMIFS('Shot Log'!$H$5:$H$16,'Shot Log'!$B$5:$B$16,5)</f>
        <v>27</v>
      </c>
      <c r="D13" s="14" t="n">
        <f aca="false">IFERROR(COUNTIFS('Shot Log'!$B$5:$B$16,5,'Shot Log'!$E$5:$E$16,"Locked")/COUNTIFS('Shot Log'!$B$5:$B$16,5),0)</f>
        <v>0</v>
      </c>
      <c r="E13" s="15" t="s">
        <v>17</v>
      </c>
    </row>
    <row r="14" customFormat="false" ht="15" hidden="false" customHeight="false" outlineLevel="0" collapsed="false">
      <c r="A14" s="11" t="s">
        <v>18</v>
      </c>
      <c r="B14" s="12" t="n">
        <f aca="false">SUMIFS('Shot Log'!$F$5:$F$16,'Shot Log'!$B$5:$B$16,6)</f>
        <v>8.75</v>
      </c>
      <c r="C14" s="13" t="n">
        <f aca="false">SUMIFS('Shot Log'!$H$5:$H$16,'Shot Log'!$B$5:$B$16,6)</f>
        <v>8</v>
      </c>
      <c r="D14" s="14" t="n">
        <f aca="false">IFERROR(COUNTIFS('Shot Log'!$B$5:$B$16,6,'Shot Log'!$E$5:$E$16,"Locked")/COUNTIFS('Shot Log'!$B$5:$B$16,6),0)</f>
        <v>0</v>
      </c>
      <c r="E14" s="15" t="s">
        <v>19</v>
      </c>
    </row>
    <row r="16" customFormat="false" ht="15" hidden="false" customHeight="false" outlineLevel="0" collapsed="false">
      <c r="A16" s="16" t="s">
        <v>20</v>
      </c>
      <c r="C16" s="17" t="str">
        <f aca="false">INDEX(Editors,MATCH(MAX(EditorHours),EditorHours,0))</f>
        <v>Mai</v>
      </c>
      <c r="D16" s="18" t="n">
        <f aca="false">MAX(EditorHours)</f>
        <v>29.5</v>
      </c>
    </row>
    <row r="34" customFormat="false" ht="15" hidden="false" customHeight="false" outlineLevel="0" collapsed="false">
      <c r="A34" s="19" t="s">
        <v>21</v>
      </c>
      <c r="B34" s="19"/>
      <c r="C34" s="19"/>
      <c r="D34" s="19"/>
      <c r="E34" s="19"/>
    </row>
  </sheetData>
  <mergeCells count="11">
    <mergeCell ref="A1:H1"/>
    <mergeCell ref="A2:H2"/>
    <mergeCell ref="A5:B5"/>
    <mergeCell ref="C5:D5"/>
    <mergeCell ref="E5:F5"/>
    <mergeCell ref="G5:H5"/>
    <mergeCell ref="A6:B6"/>
    <mergeCell ref="C6:D6"/>
    <mergeCell ref="E6:F6"/>
    <mergeCell ref="G6:H6"/>
    <mergeCell ref="A34:E34"/>
  </mergeCells>
  <conditionalFormatting sqref="D12:D14">
    <cfRule type="colorScale" priority="2">
      <colorScale>
        <cfvo type="num" val="0"/>
        <cfvo type="num" val="1"/>
        <color rgb="FFF6D9D2"/>
        <color rgb="FFC9E2D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74"/>
    <pageSetUpPr fitToPage="tru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4" min="3" style="0" width="3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3"/>
  </cols>
  <sheetData>
    <row r="1" customFormat="false" ht="25.5" hidden="false" customHeight="true" outlineLevel="0" collapsed="false">
      <c r="A1" s="1" t="s">
        <v>22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23</v>
      </c>
      <c r="B2" s="2"/>
      <c r="C2" s="2"/>
      <c r="D2" s="2"/>
      <c r="E2" s="2"/>
      <c r="F2" s="2"/>
      <c r="G2" s="2"/>
      <c r="H2" s="2"/>
      <c r="I2" s="2"/>
    </row>
    <row r="4" customFormat="false" ht="31.5" hidden="false" customHeight="true" outlineLevel="0" collapsed="false">
      <c r="A4" s="10" t="s">
        <v>24</v>
      </c>
      <c r="B4" s="10" t="s">
        <v>25</v>
      </c>
      <c r="C4" s="10" t="s">
        <v>26</v>
      </c>
      <c r="D4" s="10" t="s">
        <v>27</v>
      </c>
      <c r="E4" s="10" t="s">
        <v>28</v>
      </c>
      <c r="F4" s="10" t="s">
        <v>29</v>
      </c>
      <c r="G4" s="10" t="s">
        <v>30</v>
      </c>
      <c r="H4" s="10" t="s">
        <v>31</v>
      </c>
      <c r="I4" s="10" t="s">
        <v>32</v>
      </c>
    </row>
    <row r="5" customFormat="false" ht="18" hidden="false" customHeight="true" outlineLevel="0" collapsed="false">
      <c r="A5" s="20" t="s">
        <v>33</v>
      </c>
      <c r="B5" s="21" t="n">
        <v>4</v>
      </c>
      <c r="C5" s="22" t="s">
        <v>34</v>
      </c>
      <c r="D5" s="23" t="s">
        <v>35</v>
      </c>
      <c r="E5" s="21" t="s">
        <v>36</v>
      </c>
      <c r="F5" s="24" t="n">
        <v>0.7</v>
      </c>
      <c r="G5" s="22" t="s">
        <v>37</v>
      </c>
      <c r="H5" s="25" t="n">
        <v>6.5</v>
      </c>
      <c r="I5" s="26" t="n">
        <f aca="false">$H5*Rate_per_hour</f>
        <v>2925</v>
      </c>
    </row>
    <row r="6" customFormat="false" ht="18" hidden="false" customHeight="true" outlineLevel="0" collapsed="false">
      <c r="A6" s="27" t="s">
        <v>38</v>
      </c>
      <c r="B6" s="28" t="n">
        <v>4</v>
      </c>
      <c r="C6" s="11" t="s">
        <v>39</v>
      </c>
      <c r="D6" s="29" t="s">
        <v>40</v>
      </c>
      <c r="E6" s="28" t="s">
        <v>36</v>
      </c>
      <c r="F6" s="30" t="n">
        <v>1.25</v>
      </c>
      <c r="G6" s="11" t="s">
        <v>37</v>
      </c>
      <c r="H6" s="31" t="n">
        <v>4</v>
      </c>
      <c r="I6" s="32" t="n">
        <f aca="false">$H6*Rate_per_hour</f>
        <v>1800</v>
      </c>
    </row>
    <row r="7" customFormat="false" ht="18" hidden="false" customHeight="true" outlineLevel="0" collapsed="false">
      <c r="A7" s="20" t="s">
        <v>41</v>
      </c>
      <c r="B7" s="21" t="n">
        <v>4</v>
      </c>
      <c r="C7" s="22" t="s">
        <v>42</v>
      </c>
      <c r="D7" s="23" t="s">
        <v>43</v>
      </c>
      <c r="E7" s="21" t="s">
        <v>44</v>
      </c>
      <c r="F7" s="24" t="n">
        <v>6.5</v>
      </c>
      <c r="G7" s="22" t="s">
        <v>45</v>
      </c>
      <c r="H7" s="25" t="n">
        <v>18</v>
      </c>
      <c r="I7" s="26" t="n">
        <f aca="false">$H7*Rate_per_hour</f>
        <v>8100</v>
      </c>
    </row>
    <row r="8" customFormat="false" ht="18" hidden="false" customHeight="true" outlineLevel="0" collapsed="false">
      <c r="A8" s="27" t="s">
        <v>46</v>
      </c>
      <c r="B8" s="28" t="n">
        <v>4</v>
      </c>
      <c r="C8" s="11" t="s">
        <v>47</v>
      </c>
      <c r="D8" s="29" t="s">
        <v>48</v>
      </c>
      <c r="E8" s="28" t="s">
        <v>49</v>
      </c>
      <c r="F8" s="30" t="n">
        <v>0.92</v>
      </c>
      <c r="G8" s="11" t="s">
        <v>45</v>
      </c>
      <c r="H8" s="31" t="n">
        <v>3.5</v>
      </c>
      <c r="I8" s="32" t="n">
        <f aca="false">$H8*Rate_per_hour</f>
        <v>1575</v>
      </c>
    </row>
    <row r="9" customFormat="false" ht="18" hidden="false" customHeight="true" outlineLevel="0" collapsed="false">
      <c r="A9" s="20" t="s">
        <v>50</v>
      </c>
      <c r="B9" s="21" t="n">
        <v>4</v>
      </c>
      <c r="C9" s="22" t="s">
        <v>51</v>
      </c>
      <c r="D9" s="23" t="s">
        <v>52</v>
      </c>
      <c r="E9" s="21" t="s">
        <v>44</v>
      </c>
      <c r="F9" s="24" t="n">
        <v>1.13</v>
      </c>
      <c r="G9" s="22" t="s">
        <v>37</v>
      </c>
      <c r="H9" s="25" t="n">
        <v>7</v>
      </c>
      <c r="I9" s="26" t="n">
        <f aca="false">$H9*Rate_per_hour</f>
        <v>3150</v>
      </c>
    </row>
    <row r="10" customFormat="false" ht="18" hidden="false" customHeight="true" outlineLevel="0" collapsed="false">
      <c r="A10" s="27" t="s">
        <v>53</v>
      </c>
      <c r="B10" s="28" t="n">
        <v>5</v>
      </c>
      <c r="C10" s="11" t="s">
        <v>54</v>
      </c>
      <c r="D10" s="29" t="s">
        <v>55</v>
      </c>
      <c r="E10" s="28" t="s">
        <v>56</v>
      </c>
      <c r="F10" s="30" t="n">
        <v>2.4</v>
      </c>
      <c r="G10" s="11" t="s">
        <v>57</v>
      </c>
      <c r="H10" s="31" t="n">
        <v>9.5</v>
      </c>
      <c r="I10" s="32" t="n">
        <f aca="false">$H10*Rate_per_hour</f>
        <v>4275</v>
      </c>
    </row>
    <row r="11" customFormat="false" ht="18" hidden="false" customHeight="true" outlineLevel="0" collapsed="false">
      <c r="A11" s="20" t="s">
        <v>58</v>
      </c>
      <c r="B11" s="21" t="n">
        <v>5</v>
      </c>
      <c r="C11" s="22" t="s">
        <v>59</v>
      </c>
      <c r="D11" s="23" t="s">
        <v>60</v>
      </c>
      <c r="E11" s="21" t="s">
        <v>56</v>
      </c>
      <c r="F11" s="24" t="n">
        <v>3.1</v>
      </c>
      <c r="G11" s="22" t="s">
        <v>57</v>
      </c>
      <c r="H11" s="25" t="n">
        <v>12</v>
      </c>
      <c r="I11" s="26" t="n">
        <f aca="false">$H11*Rate_per_hour</f>
        <v>5400</v>
      </c>
    </row>
    <row r="12" customFormat="false" ht="18" hidden="false" customHeight="true" outlineLevel="0" collapsed="false">
      <c r="A12" s="27" t="s">
        <v>61</v>
      </c>
      <c r="B12" s="28" t="n">
        <v>5</v>
      </c>
      <c r="C12" s="11" t="s">
        <v>62</v>
      </c>
      <c r="D12" s="29" t="s">
        <v>63</v>
      </c>
      <c r="E12" s="28" t="s">
        <v>64</v>
      </c>
      <c r="F12" s="30" t="n">
        <v>5.8</v>
      </c>
      <c r="G12" s="11" t="s">
        <v>45</v>
      </c>
      <c r="H12" s="31" t="n">
        <v>0</v>
      </c>
      <c r="I12" s="32" t="n">
        <f aca="false">$H12*Rate_per_hour</f>
        <v>0</v>
      </c>
    </row>
    <row r="13" customFormat="false" ht="18" hidden="false" customHeight="true" outlineLevel="0" collapsed="false">
      <c r="A13" s="20" t="s">
        <v>65</v>
      </c>
      <c r="B13" s="21" t="n">
        <v>5</v>
      </c>
      <c r="C13" s="22" t="s">
        <v>66</v>
      </c>
      <c r="D13" s="23" t="s">
        <v>67</v>
      </c>
      <c r="E13" s="21" t="s">
        <v>44</v>
      </c>
      <c r="F13" s="24" t="n">
        <v>0.85</v>
      </c>
      <c r="G13" s="22" t="s">
        <v>37</v>
      </c>
      <c r="H13" s="25" t="n">
        <v>5.5</v>
      </c>
      <c r="I13" s="26" t="n">
        <f aca="false">$H13*Rate_per_hour</f>
        <v>2475</v>
      </c>
    </row>
    <row r="14" customFormat="false" ht="18" hidden="false" customHeight="true" outlineLevel="0" collapsed="false">
      <c r="A14" s="27" t="s">
        <v>68</v>
      </c>
      <c r="B14" s="28" t="n">
        <v>6</v>
      </c>
      <c r="C14" s="11" t="s">
        <v>69</v>
      </c>
      <c r="D14" s="29" t="s">
        <v>70</v>
      </c>
      <c r="E14" s="28" t="s">
        <v>56</v>
      </c>
      <c r="F14" s="30" t="n">
        <v>1.95</v>
      </c>
      <c r="G14" s="11" t="s">
        <v>57</v>
      </c>
      <c r="H14" s="31" t="n">
        <v>8</v>
      </c>
      <c r="I14" s="32" t="n">
        <f aca="false">$H14*Rate_per_hour</f>
        <v>3600</v>
      </c>
    </row>
    <row r="15" customFormat="false" ht="18" hidden="false" customHeight="true" outlineLevel="0" collapsed="false">
      <c r="A15" s="20" t="s">
        <v>71</v>
      </c>
      <c r="B15" s="21" t="n">
        <v>6</v>
      </c>
      <c r="C15" s="22" t="s">
        <v>72</v>
      </c>
      <c r="D15" s="23" t="s">
        <v>73</v>
      </c>
      <c r="E15" s="21" t="s">
        <v>64</v>
      </c>
      <c r="F15" s="24" t="n">
        <v>2.6</v>
      </c>
      <c r="G15" s="22" t="s">
        <v>37</v>
      </c>
      <c r="H15" s="25" t="n">
        <v>0</v>
      </c>
      <c r="I15" s="26" t="n">
        <f aca="false">$H15*Rate_per_hour</f>
        <v>0</v>
      </c>
    </row>
    <row r="16" customFormat="false" ht="18" hidden="false" customHeight="true" outlineLevel="0" collapsed="false">
      <c r="A16" s="27" t="s">
        <v>74</v>
      </c>
      <c r="B16" s="28" t="n">
        <v>6</v>
      </c>
      <c r="C16" s="11" t="s">
        <v>75</v>
      </c>
      <c r="D16" s="29" t="s">
        <v>76</v>
      </c>
      <c r="E16" s="28" t="s">
        <v>64</v>
      </c>
      <c r="F16" s="30" t="n">
        <v>4.2</v>
      </c>
      <c r="G16" s="11" t="s">
        <v>45</v>
      </c>
      <c r="H16" s="31" t="n">
        <v>0</v>
      </c>
      <c r="I16" s="32" t="n">
        <f aca="false">$H16*Rate_per_hour</f>
        <v>0</v>
      </c>
    </row>
    <row r="17" customFormat="false" ht="15" hidden="false" customHeight="false" outlineLevel="0" collapsed="false">
      <c r="A17" s="33"/>
      <c r="B17" s="33"/>
      <c r="C17" s="33" t="s">
        <v>77</v>
      </c>
      <c r="D17" s="33"/>
      <c r="E17" s="33"/>
      <c r="F17" s="34" t="n">
        <f aca="false">SUM(F5:F16)</f>
        <v>31.4</v>
      </c>
      <c r="G17" s="33"/>
      <c r="H17" s="35" t="n">
        <f aca="false">SUM(H5:H16)</f>
        <v>74</v>
      </c>
      <c r="I17" s="36" t="n">
        <f aca="false">SUM(I5:I16)</f>
        <v>33300</v>
      </c>
    </row>
  </sheetData>
  <autoFilter ref="A4:I16"/>
  <mergeCells count="2">
    <mergeCell ref="A1:I1"/>
    <mergeCell ref="A2:I2"/>
  </mergeCells>
  <conditionalFormatting sqref="H5:H16">
    <cfRule type="dataBar" priority="2">
      <dataBar showValue="1" minLength="10" maxLength="90">
        <cfvo type="num" val="0"/>
        <cfvo type="num" val="20"/>
        <color rgb="FF2E7D74"/>
      </dataBar>
      <extLst>
        <ext xmlns:x14="http://schemas.microsoft.com/office/spreadsheetml/2009/9/main" uri="{B025F937-C7B1-47D3-B67F-A62EFF666E3E}">
          <x14:id>{C9C3B519-899B-4D4C-B672-AB37D3F96BD5}</x14:id>
        </ext>
      </extLst>
    </cfRule>
  </conditionalFormatting>
  <conditionalFormatting sqref="E5:E16">
    <cfRule type="cellIs" priority="3" operator="equal" aboveAverage="0" equalAverage="0" bottom="0" percent="0" rank="0" text="" dxfId="20">
      <formula>"Blocked"</formula>
    </cfRule>
    <cfRule type="cellIs" priority="4" operator="equal" aboveAverage="0" equalAverage="0" bottom="0" percent="0" rank="0" text="" dxfId="21">
      <formula>"Locked"</formula>
    </cfRule>
  </conditionalFormatting>
  <conditionalFormatting sqref="F5:F16">
    <cfRule type="colorScale" priority="5">
      <colorScale>
        <cfvo type="min" val="0"/>
        <cfvo type="max" val="0"/>
        <color rgb="FFFFFFFF"/>
        <color rgb="FFF3D9A8"/>
      </colorScale>
    </cfRule>
  </conditionalFormatting>
  <dataValidations count="1">
    <dataValidation allowBlank="false" errorStyle="stop" operator="between" prompt="Pick one / اختر حالة واحدة" promptTitle="Status" showDropDown="false" showErrorMessage="false" showInputMessage="false" sqref="E5:E16" type="list">
      <formula1>"Not started,In progress,In review,Locked,Blocked"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C3B519-899B-4D4C-B672-AB37D3F96BD5}">
            <x14:dataBar minLength="10" maxLength="90" axisPosition="none" gradient="true">
              <x14:cfvo type="num">
                <xm:f>0</xm:f>
              </x14:cfvo>
              <x14:cfvo type="num">
                <xm:f>20</xm:f>
              </x14:cfvo>
              <x14:negativeFillColor rgb="FF2E7D74"/>
              <x14:axisColor rgb="FF000000"/>
            </x14:dataBar>
          </x14:cfRule>
          <xm:sqref>H5:H16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24830"/>
    <pageSetUpPr fitToPage="true"/>
  </sheetPr>
  <dimension ref="A1:E1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22"/>
  </cols>
  <sheetData>
    <row r="1" customFormat="false" ht="25.5" hidden="false" customHeight="true" outlineLevel="0" collapsed="false">
      <c r="A1" s="1" t="s">
        <v>78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79</v>
      </c>
      <c r="B2" s="2"/>
      <c r="C2" s="2"/>
      <c r="D2" s="2"/>
      <c r="E2" s="2"/>
    </row>
    <row r="4" customFormat="false" ht="25.5" hidden="false" customHeight="true" outlineLevel="0" collapsed="false">
      <c r="A4" s="10" t="s">
        <v>80</v>
      </c>
      <c r="B4" s="10" t="s">
        <v>81</v>
      </c>
      <c r="C4" s="10" t="s">
        <v>82</v>
      </c>
      <c r="D4" s="10" t="s">
        <v>83</v>
      </c>
      <c r="E4" s="10" t="s">
        <v>84</v>
      </c>
    </row>
    <row r="5" customFormat="false" ht="19.5" hidden="false" customHeight="true" outlineLevel="0" collapsed="false">
      <c r="A5" s="29" t="s">
        <v>85</v>
      </c>
      <c r="B5" s="37" t="n">
        <v>180000</v>
      </c>
      <c r="C5" s="38" t="n">
        <f aca="false">'Shot Log'!I17</f>
        <v>33300</v>
      </c>
      <c r="D5" s="39" t="n">
        <f aca="false">IFERROR(C5/B5-1,0)</f>
        <v>-0.815</v>
      </c>
      <c r="E5" s="40" t="s">
        <v>86</v>
      </c>
    </row>
    <row r="6" customFormat="false" ht="19.5" hidden="false" customHeight="true" outlineLevel="0" collapsed="false">
      <c r="A6" s="29" t="s">
        <v>87</v>
      </c>
      <c r="B6" s="37" t="n">
        <v>90000</v>
      </c>
      <c r="C6" s="41" t="n">
        <v>74500</v>
      </c>
      <c r="D6" s="39" t="n">
        <f aca="false">IFERROR(C6/B6-1,0)</f>
        <v>-0.172222222222222</v>
      </c>
      <c r="E6" s="40" t="s">
        <v>88</v>
      </c>
    </row>
    <row r="7" customFormat="false" ht="19.5" hidden="false" customHeight="true" outlineLevel="0" collapsed="false">
      <c r="A7" s="29" t="s">
        <v>89</v>
      </c>
      <c r="B7" s="37" t="n">
        <v>65000</v>
      </c>
      <c r="C7" s="41" t="n">
        <v>61200</v>
      </c>
      <c r="D7" s="39" t="n">
        <f aca="false">IFERROR(C7/B7-1,0)</f>
        <v>-0.0584615384615385</v>
      </c>
      <c r="E7" s="40" t="s">
        <v>90</v>
      </c>
    </row>
    <row r="8" customFormat="false" ht="19.5" hidden="false" customHeight="true" outlineLevel="0" collapsed="false">
      <c r="A8" s="29" t="s">
        <v>91</v>
      </c>
      <c r="B8" s="37" t="n">
        <v>40000</v>
      </c>
      <c r="C8" s="41" t="n">
        <v>38900</v>
      </c>
      <c r="D8" s="39" t="n">
        <f aca="false">IFERROR(C8/B8-1,0)</f>
        <v>-0.0275</v>
      </c>
      <c r="E8" s="40" t="s">
        <v>92</v>
      </c>
    </row>
    <row r="9" customFormat="false" ht="19.5" hidden="false" customHeight="true" outlineLevel="0" collapsed="false">
      <c r="A9" s="29" t="s">
        <v>93</v>
      </c>
      <c r="B9" s="37" t="n">
        <v>55000</v>
      </c>
      <c r="C9" s="41" t="n">
        <v>68400</v>
      </c>
      <c r="D9" s="39" t="n">
        <f aca="false">IFERROR(C9/B9-1,0)</f>
        <v>0.243636363636364</v>
      </c>
      <c r="E9" s="40" t="s">
        <v>94</v>
      </c>
    </row>
    <row r="10" customFormat="false" ht="19.5" hidden="false" customHeight="true" outlineLevel="0" collapsed="false">
      <c r="A10" s="29" t="s">
        <v>95</v>
      </c>
      <c r="B10" s="37" t="n">
        <v>70000</v>
      </c>
      <c r="C10" s="41" t="n">
        <v>70000</v>
      </c>
      <c r="D10" s="39" t="n">
        <f aca="false">IFERROR(C10/B10-1,0)</f>
        <v>0</v>
      </c>
      <c r="E10" s="40" t="s">
        <v>96</v>
      </c>
    </row>
    <row r="11" customFormat="false" ht="15" hidden="false" customHeight="false" outlineLevel="0" collapsed="false">
      <c r="A11" s="42" t="s">
        <v>97</v>
      </c>
      <c r="B11" s="43" t="n">
        <f aca="false">SUM(B5:B10)</f>
        <v>500000</v>
      </c>
      <c r="C11" s="43" t="n">
        <f aca="false">SUM(C5:C10)</f>
        <v>346300</v>
      </c>
      <c r="D11" s="44" t="n">
        <f aca="false">IFERROR(C11/B11-1,0)</f>
        <v>-0.3074</v>
      </c>
      <c r="E11" s="33"/>
    </row>
  </sheetData>
  <mergeCells count="2">
    <mergeCell ref="A1:E1"/>
    <mergeCell ref="A2:E2"/>
  </mergeCells>
  <conditionalFormatting sqref="D5:D10">
    <cfRule type="cellIs" priority="2" operator="greaterThan" aboveAverage="0" equalAverage="0" bottom="0" percent="0" rank="0" text="" dxfId="22">
      <formula>0</formula>
    </cfRule>
    <cfRule type="cellIs" priority="3" operator="lessThan" aboveAverage="0" equalAverage="0" bottom="0" percent="0" rank="0" text="" dxfId="2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2171F"/>
    <pageSetUpPr fitToPage="tru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62"/>
  </cols>
  <sheetData>
    <row r="1" customFormat="false" ht="25.5" hidden="false" customHeight="true" outlineLevel="0" collapsed="false">
      <c r="A1" s="1" t="s">
        <v>98</v>
      </c>
      <c r="B1" s="1"/>
      <c r="C1" s="1"/>
    </row>
    <row r="2" customFormat="false" ht="19.5" hidden="false" customHeight="true" outlineLevel="0" collapsed="false">
      <c r="A2" s="2" t="s">
        <v>99</v>
      </c>
      <c r="B2" s="2"/>
      <c r="C2" s="2"/>
    </row>
    <row r="4" customFormat="false" ht="15" hidden="false" customHeight="false" outlineLevel="0" collapsed="false">
      <c r="A4" s="8" t="s">
        <v>100</v>
      </c>
    </row>
    <row r="6" customFormat="false" ht="15" hidden="false" customHeight="false" outlineLevel="0" collapsed="false">
      <c r="A6" s="0" t="s">
        <v>101</v>
      </c>
      <c r="B6" s="45" t="n">
        <v>450</v>
      </c>
      <c r="C6" s="46" t="s">
        <v>102</v>
      </c>
    </row>
    <row r="7" customFormat="false" ht="15" hidden="false" customHeight="false" outlineLevel="0" collapsed="false">
      <c r="A7" s="0" t="s">
        <v>103</v>
      </c>
      <c r="B7" s="47" t="n">
        <v>46157</v>
      </c>
      <c r="C7" s="48" t="s">
        <v>104</v>
      </c>
    </row>
    <row r="8" customFormat="false" ht="15" hidden="false" customHeight="false" outlineLevel="0" collapsed="false">
      <c r="A8" s="0" t="s">
        <v>105</v>
      </c>
      <c r="B8" s="49" t="n">
        <v>0.104166666666667</v>
      </c>
      <c r="C8" s="50" t="s">
        <v>106</v>
      </c>
    </row>
    <row r="10" customFormat="false" ht="15" hidden="false" customHeight="false" outlineLevel="0" collapsed="false">
      <c r="A10" s="8" t="s">
        <v>107</v>
      </c>
    </row>
    <row r="11" customFormat="false" ht="15" hidden="false" customHeight="false" outlineLevel="0" collapsed="false">
      <c r="A11" s="51" t="s">
        <v>108</v>
      </c>
      <c r="B11" s="15" t="s">
        <v>109</v>
      </c>
      <c r="C11" s="52" t="s">
        <v>110</v>
      </c>
    </row>
    <row r="12" customFormat="false" ht="15" hidden="false" customHeight="false" outlineLevel="0" collapsed="false">
      <c r="A12" s="51" t="s">
        <v>111</v>
      </c>
      <c r="B12" s="15" t="s">
        <v>112</v>
      </c>
      <c r="C12" s="52" t="s">
        <v>113</v>
      </c>
    </row>
    <row r="13" customFormat="false" ht="15" hidden="false" customHeight="false" outlineLevel="0" collapsed="false">
      <c r="A13" s="51" t="s">
        <v>114</v>
      </c>
      <c r="B13" s="15" t="s">
        <v>115</v>
      </c>
      <c r="C13" s="52" t="s">
        <v>116</v>
      </c>
    </row>
    <row r="14" customFormat="false" ht="15" hidden="false" customHeight="false" outlineLevel="0" collapsed="false">
      <c r="A14" s="51" t="s">
        <v>117</v>
      </c>
      <c r="B14" s="15" t="s">
        <v>118</v>
      </c>
      <c r="C14" s="52" t="s">
        <v>119</v>
      </c>
    </row>
    <row r="17" customFormat="false" ht="15" hidden="false" customHeight="false" outlineLevel="0" collapsed="false">
      <c r="A17" s="8" t="s">
        <v>120</v>
      </c>
    </row>
    <row r="18" customFormat="false" ht="45.75" hidden="false" customHeight="true" outlineLevel="0" collapsed="false">
      <c r="A18" s="0" t="s">
        <v>121</v>
      </c>
      <c r="B18" s="0" t="s">
        <v>56</v>
      </c>
      <c r="C18" s="53" t="s">
        <v>122</v>
      </c>
    </row>
    <row r="20" customFormat="false" ht="15" hidden="false" customHeight="false" outlineLevel="0" collapsed="false">
      <c r="A20" s="0" t="s">
        <v>123</v>
      </c>
      <c r="B20" s="54" t="s">
        <v>124</v>
      </c>
      <c r="C20" s="50" t="s">
        <v>125</v>
      </c>
    </row>
    <row r="23" customFormat="false" ht="15" hidden="false" customHeight="false" outlineLevel="0" collapsed="false">
      <c r="A23" s="55" t="s">
        <v>30</v>
      </c>
      <c r="B23" s="55" t="s">
        <v>126</v>
      </c>
    </row>
    <row r="24" customFormat="false" ht="15" hidden="false" customHeight="false" outlineLevel="0" collapsed="false">
      <c r="A24" s="52" t="s">
        <v>37</v>
      </c>
      <c r="B24" s="56" t="n">
        <f aca="false">SUMIFS('Shot Log'!$H$5:$H$16,'Shot Log'!$G$5:$G$16,A24)</f>
        <v>23</v>
      </c>
    </row>
    <row r="25" customFormat="false" ht="15" hidden="false" customHeight="false" outlineLevel="0" collapsed="false">
      <c r="A25" s="52" t="s">
        <v>45</v>
      </c>
      <c r="B25" s="56" t="n">
        <f aca="false">SUMIFS('Shot Log'!$H$5:$H$16,'Shot Log'!$G$5:$G$16,A25)</f>
        <v>21.5</v>
      </c>
    </row>
    <row r="26" customFormat="false" ht="15" hidden="false" customHeight="false" outlineLevel="0" collapsed="false">
      <c r="A26" s="52" t="s">
        <v>57</v>
      </c>
      <c r="B26" s="56" t="n">
        <f aca="false">SUMIFS('Shot Log'!$H$5:$H$16,'Shot Log'!$G$5:$G$16,A26)</f>
        <v>29.5</v>
      </c>
    </row>
  </sheetData>
  <mergeCells count="2">
    <mergeCell ref="A1:C1"/>
    <mergeCell ref="A2:C2"/>
  </mergeCells>
  <hyperlinks>
    <hyperlink ref="B20" r:id="rId1" display="example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2026-08-29T17:48:23Z</dcterms:created>
  <dc:creator>Nile Frame Studio</dc:creator>
  <dc:description/>
  <dc:language>en-US</dc:language>
  <cp:lastModifiedBy/>
  <dcterms:modified xsi:type="dcterms:W3CDTF">2026-08-29T17:48:25Z</dcterms:modified>
  <cp:revision>1</cp:revision>
  <dc:subject/>
  <dc:title>Post-Production Tracker / متتبع ما بعد الإنتاج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